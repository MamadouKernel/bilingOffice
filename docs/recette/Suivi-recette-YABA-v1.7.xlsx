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as de test" sheetId="3" state="visible" r:id="rId3"/>
    <sheet xmlns:r="http://schemas.openxmlformats.org/officeDocument/2006/relationships" name="Anomalies" sheetId="4" state="visible" r:id="rId4"/>
  </sheets>
  <definedNames>
    <definedName name="_xlnm._FilterDatabase" localSheetId="2" hidden="1">'Cas de test'!$A$1:$L$202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0B3D6E"/>
      </patternFill>
    </fill>
    <fill>
      <patternFill patternType="solid">
        <f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Suivi de la campagne de recette fonctionnelle YABA</t>
        </is>
      </c>
    </row>
    <row r="2">
      <c r="A2" s="2" t="inlineStr"/>
    </row>
    <row r="3">
      <c r="A3" s="2" t="inlineStr">
        <is>
          <t>Cellules à remplir : fond jaune pâle dans « Cas de test » (Testeur, Date, Statut, N° anomalie, Commentaire) et dans « Anomalies ».</t>
        </is>
      </c>
    </row>
    <row r="4">
      <c r="A4" s="2" t="inlineStr">
        <is>
          <t>Statut : liste déroulante OK / KO / Bloqué / NT.</t>
        </is>
      </c>
    </row>
    <row r="5">
      <c r="A5" s="2" t="inlineStr">
        <is>
          <t>Date : saisir au format JJ/MM/AAAA.</t>
        </is>
      </c>
    </row>
    <row r="6">
      <c r="A6" s="2" t="inlineStr">
        <is>
          <t>Un KO porte toujours un numéro d'anomalie (ANO-001…) détaillé dans l'onglet « Anomalies ».</t>
        </is>
      </c>
    </row>
    <row r="7">
      <c r="A7" s="2" t="inlineStr">
        <is>
          <t>L'onglet « Synthèse » se calcule automatiquement à partir des statuts saisis.</t>
        </is>
      </c>
    </row>
    <row r="8">
      <c r="A8" s="2" t="inlineStr">
        <is>
          <t>Étapes détaillées, comptes de test et critères de sortie : voir le cahier de recette (Word).</t>
        </is>
      </c>
    </row>
    <row r="9">
      <c r="A9" s="2" t="inlineStr"/>
    </row>
    <row r="10">
      <c r="A10" s="2" t="inlineStr">
        <is>
          <t>Exemple de ligne remplie : Testeur « A. Kouassi », Date 29/09/2026, Statut KO, N° anomalie ANO-004, Commentaire « export Excel vide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Synthèse de la campagne</t>
        </is>
      </c>
    </row>
    <row r="3">
      <c r="A3" s="3" t="inlineStr">
        <is>
          <t>Catégorie</t>
        </is>
      </c>
      <c r="B3" s="3" t="inlineStr">
        <is>
          <t>Total</t>
        </is>
      </c>
      <c r="C3" s="3" t="inlineStr">
        <is>
          <t>OK</t>
        </is>
      </c>
      <c r="D3" s="3" t="inlineStr">
        <is>
          <t>KO</t>
        </is>
      </c>
      <c r="E3" s="3" t="inlineStr">
        <is>
          <t>Bloqué</t>
        </is>
      </c>
      <c r="F3" s="3" t="inlineStr">
        <is>
          <t>NT</t>
        </is>
      </c>
      <c r="G3" s="3" t="inlineStr">
        <is>
          <t>Non renseigné</t>
        </is>
      </c>
      <c r="H3" s="3" t="inlineStr">
        <is>
          <t>% exécuté</t>
        </is>
      </c>
      <c r="I3" s="3" t="inlineStr">
        <is>
          <t>% OK</t>
        </is>
      </c>
    </row>
    <row r="4">
      <c r="A4" s="4" t="inlineStr">
        <is>
          <t>Transverse</t>
        </is>
      </c>
      <c r="B4" s="4">
        <f>COUNTIF('Cas de test'!$A$2:$A$202,"Transverse")</f>
        <v/>
      </c>
      <c r="C4" s="4">
        <f>COUNTIFS('Cas de test'!$A$2:$A$202,"Transverse",'Cas de test'!$J$2:$J$202,"OK")</f>
        <v/>
      </c>
      <c r="D4" s="4">
        <f>COUNTIFS('Cas de test'!$A$2:$A$202,"Transverse",'Cas de test'!$J$2:$J$202,"KO")</f>
        <v/>
      </c>
      <c r="E4" s="4">
        <f>COUNTIFS('Cas de test'!$A$2:$A$202,"Transverse",'Cas de test'!$J$2:$J$202,"Bloqué")</f>
        <v/>
      </c>
      <c r="F4" s="4">
        <f>COUNTIFS('Cas de test'!$A$2:$A$202,"Transverse",'Cas de test'!$J$2:$J$202,"NT")</f>
        <v/>
      </c>
      <c r="G4" s="4">
        <f>B4-SUM(C4:F4)</f>
        <v/>
      </c>
      <c r="H4" s="5">
        <f>IF(B4=0,0,SUM(C4:E4)/B4)</f>
        <v/>
      </c>
      <c r="I4" s="5">
        <f>IF(B4=0,0,C4/B4)</f>
        <v/>
      </c>
    </row>
    <row r="5">
      <c r="A5" s="4" t="inlineStr">
        <is>
          <t>Parcours rôle</t>
        </is>
      </c>
      <c r="B5" s="4">
        <f>COUNTIF('Cas de test'!$A$2:$A$202,"Parcours rôle")</f>
        <v/>
      </c>
      <c r="C5" s="4">
        <f>COUNTIFS('Cas de test'!$A$2:$A$202,"Parcours rôle",'Cas de test'!$J$2:$J$202,"OK")</f>
        <v/>
      </c>
      <c r="D5" s="4">
        <f>COUNTIFS('Cas de test'!$A$2:$A$202,"Parcours rôle",'Cas de test'!$J$2:$J$202,"KO")</f>
        <v/>
      </c>
      <c r="E5" s="4">
        <f>COUNTIFS('Cas de test'!$A$2:$A$202,"Parcours rôle",'Cas de test'!$J$2:$J$202,"Bloqué")</f>
        <v/>
      </c>
      <c r="F5" s="4">
        <f>COUNTIFS('Cas de test'!$A$2:$A$202,"Parcours rôle",'Cas de test'!$J$2:$J$202,"NT")</f>
        <v/>
      </c>
      <c r="G5" s="4">
        <f>B5-SUM(C5:F5)</f>
        <v/>
      </c>
      <c r="H5" s="5">
        <f>IF(B5=0,0,SUM(C5:E5)/B5)</f>
        <v/>
      </c>
      <c r="I5" s="5">
        <f>IF(B5=0,0,C5/B5)</f>
        <v/>
      </c>
    </row>
    <row r="6">
      <c r="A6" s="4" t="inlineStr">
        <is>
          <t>Bout en bout</t>
        </is>
      </c>
      <c r="B6" s="4">
        <f>COUNTIF('Cas de test'!$A$2:$A$202,"Bout en bout")</f>
        <v/>
      </c>
      <c r="C6" s="4">
        <f>COUNTIFS('Cas de test'!$A$2:$A$202,"Bout en bout",'Cas de test'!$J$2:$J$202,"OK")</f>
        <v/>
      </c>
      <c r="D6" s="4">
        <f>COUNTIFS('Cas de test'!$A$2:$A$202,"Bout en bout",'Cas de test'!$J$2:$J$202,"KO")</f>
        <v/>
      </c>
      <c r="E6" s="4">
        <f>COUNTIFS('Cas de test'!$A$2:$A$202,"Bout en bout",'Cas de test'!$J$2:$J$202,"Bloqué")</f>
        <v/>
      </c>
      <c r="F6" s="4">
        <f>COUNTIFS('Cas de test'!$A$2:$A$202,"Bout en bout",'Cas de test'!$J$2:$J$202,"NT")</f>
        <v/>
      </c>
      <c r="G6" s="4">
        <f>B6-SUM(C6:F6)</f>
        <v/>
      </c>
      <c r="H6" s="5">
        <f>IF(B6=0,0,SUM(C6:E6)/B6)</f>
        <v/>
      </c>
      <c r="I6" s="5">
        <f>IF(B6=0,0,C6/B6)</f>
        <v/>
      </c>
    </row>
    <row r="7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6">
        <f>SUM(G4:G6)</f>
        <v/>
      </c>
      <c r="H7" s="7">
        <f>IF(B7=0,0,SUM(C7:E7)/B7)</f>
        <v/>
      </c>
      <c r="I7" s="7">
        <f>IF(B7=0,0,C7/B7)</f>
        <v/>
      </c>
    </row>
    <row r="10">
      <c r="A10" s="6" t="inlineStr">
        <is>
          <t>Anomalies non fermées</t>
        </is>
      </c>
    </row>
    <row r="11">
      <c r="A11" s="4" t="inlineStr">
        <is>
          <t>Bloquante</t>
        </is>
      </c>
      <c r="B11" s="4">
        <f>COUNTIFS(Anomalies!$E$2:$E$101,"Bloquante",Anomalies!$J$2:$J$101,"&lt;&gt;Fermée",Anomalies!$J$2:$J$101,"&lt;&gt;Vérifiée")</f>
        <v/>
      </c>
    </row>
    <row r="12">
      <c r="A12" s="4" t="inlineStr">
        <is>
          <t>Majeure</t>
        </is>
      </c>
      <c r="B12" s="4">
        <f>COUNTIFS(Anomalies!$E$2:$E$101,"Majeure",Anomalies!$J$2:$J$101,"&lt;&gt;Fermée",Anomalies!$J$2:$J$101,"&lt;&gt;Vérifiée")</f>
        <v/>
      </c>
    </row>
    <row r="13">
      <c r="A13" s="4" t="inlineStr">
        <is>
          <t>Mineure</t>
        </is>
      </c>
      <c r="B13" s="4">
        <f>COUNTIFS(Anomalies!$E$2:$E$101,"Mineure",Anomalies!$J$2:$J$101,"&lt;&gt;Fermée",Anomalies!$J$2:$J$101,"&lt;&gt;Vérifiée")</f>
        <v/>
      </c>
    </row>
    <row r="15">
      <c r="A15" s="8" t="inlineStr">
        <is>
          <t>Critère de sortie : 100 % exécuté et 0 anomalie bloquante non fermée.</t>
        </is>
      </c>
    </row>
    <row r="16">
      <c r="A16" s="6" t="inlineStr">
        <is>
          <t>Recette prononçable ?</t>
        </is>
      </c>
      <c r="B16" s="6">
        <f>IF(AND(H7=1,B11=0),"OUI","NON")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0" customWidth="1" min="4" max="4"/>
    <col width="22" customWidth="1" min="5" max="5"/>
    <col width="55" customWidth="1" min="6" max="6"/>
    <col width="45" customWidth="1" min="7" max="7"/>
    <col width="16" customWidth="1" min="8" max="8"/>
    <col width="12" customWidth="1" min="9" max="9"/>
    <col width="10" customWidth="1" min="10" max="10"/>
    <col width="13" customWidth="1" min="11" max="11"/>
    <col width="35" customWidth="1" min="12" max="12"/>
  </cols>
  <sheetData>
    <row r="1">
      <c r="A1" s="9" t="inlineStr">
        <is>
          <t>Catégorie</t>
        </is>
      </c>
      <c r="B1" s="9" t="inlineStr">
        <is>
          <t>ID</t>
        </is>
      </c>
      <c r="C1" s="9" t="inlineStr">
        <is>
          <t>Profil</t>
        </is>
      </c>
      <c r="D1" s="9" t="inlineStr">
        <is>
          <t>Cas de test</t>
        </is>
      </c>
      <c r="E1" s="9" t="inlineStr">
        <is>
          <t>Prérequis</t>
        </is>
      </c>
      <c r="F1" s="9" t="inlineStr">
        <is>
          <t>Étapes</t>
        </is>
      </c>
      <c r="G1" s="9" t="inlineStr">
        <is>
          <t>Résultat attendu</t>
        </is>
      </c>
      <c r="H1" s="9" t="inlineStr">
        <is>
          <t>Testeur</t>
        </is>
      </c>
      <c r="I1" s="9" t="inlineStr">
        <is>
          <t>Date</t>
        </is>
      </c>
      <c r="J1" s="9" t="inlineStr">
        <is>
          <t>Statut</t>
        </is>
      </c>
      <c r="K1" s="9" t="inlineStr">
        <is>
          <t>N° anomalie</t>
        </is>
      </c>
      <c r="L1" s="9" t="inlineStr">
        <is>
          <t>Commentaire</t>
        </is>
      </c>
    </row>
    <row r="2">
      <c r="A2" s="10" t="inlineStr">
        <is>
          <t>Transverse</t>
        </is>
      </c>
      <c r="B2" s="10" t="inlineStr">
        <is>
          <t>TR-01</t>
        </is>
      </c>
      <c r="C2" s="10" t="inlineStr">
        <is>
          <t>Tous</t>
        </is>
      </c>
      <c r="D2" s="10" t="inlineStr">
        <is>
          <t>Connexion valide</t>
        </is>
      </c>
      <c r="E2" s="10" t="inlineStr">
        <is>
          <t>Compte actif, 2FA configurée</t>
        </is>
      </c>
      <c r="F2" s="10" t="inlineStr">
        <is>
          <t>Ouvrir /comptes/connexion ; saisir e-mail et mot de passe ; saisir le code à 6 chiffres de l'application d'authentification</t>
        </is>
      </c>
      <c r="G2" s="10" t="inlineStr">
        <is>
          <t>Redirection vers l'espace du profil ; nom et espace affichés en haut à droite</t>
        </is>
      </c>
      <c r="H2" s="11" t="n"/>
      <c r="I2" s="12" t="n"/>
      <c r="J2" s="11" t="n"/>
      <c r="K2" s="11" t="n"/>
      <c r="L2" s="11" t="n"/>
    </row>
    <row r="3">
      <c r="A3" s="10" t="inlineStr">
        <is>
          <t>Transverse</t>
        </is>
      </c>
      <c r="B3" s="10" t="inlineStr">
        <is>
          <t>TR-02</t>
        </is>
      </c>
      <c r="C3" s="10" t="inlineStr">
        <is>
          <t>Tous</t>
        </is>
      </c>
      <c r="D3" s="10" t="inlineStr">
        <is>
          <t>Connexion refusée</t>
        </is>
      </c>
      <c r="E3" s="10" t="inlineStr">
        <is>
          <t>—</t>
        </is>
      </c>
      <c r="F3" s="10" t="inlineStr">
        <is>
          <t>Saisir un mot de passe erroné plusieurs fois</t>
        </is>
      </c>
      <c r="G3" s="10" t="inlineStr">
        <is>
          <t>Message générique (sans dire si l'e-mail existe) ; verrouillage temporaire après plusieurs échecs ; aucun accès</t>
        </is>
      </c>
      <c r="H3" s="11" t="n"/>
      <c r="I3" s="12" t="n"/>
      <c r="J3" s="11" t="n"/>
      <c r="K3" s="11" t="n"/>
      <c r="L3" s="11" t="n"/>
    </row>
    <row r="4">
      <c r="A4" s="10" t="inlineStr">
        <is>
          <t>Transverse</t>
        </is>
      </c>
      <c r="B4" s="10" t="inlineStr">
        <is>
          <t>TR-03</t>
        </is>
      </c>
      <c r="C4" s="10" t="inlineStr">
        <is>
          <t>Tous</t>
        </is>
      </c>
      <c r="D4" s="10" t="inlineStr">
        <is>
          <t>2FA obligatoire à la première connexion</t>
        </is>
      </c>
      <c r="E4" s="10" t="inlineStr">
        <is>
          <t>Compte neuf sans 2FA</t>
        </is>
      </c>
      <c r="F4" s="10" t="inlineStr">
        <is>
          <t>Se connecter ; constater la redirection vers /comptes/double-authentification ; scanner le QR code avec Google Authenticator, Microsoft Authenticator ou l'app Mots de passe (iPhone) ; saisir le code</t>
        </is>
      </c>
      <c r="G4" s="10" t="inlineStr">
        <is>
          <t>Aucune autre page accessible tant que la 2FA n'est pas activée ; après validation, accès normal ; pas de bouton de désactivation</t>
        </is>
      </c>
      <c r="H4" s="11" t="n"/>
      <c r="I4" s="12" t="n"/>
      <c r="J4" s="11" t="n"/>
      <c r="K4" s="11" t="n"/>
      <c r="L4" s="11" t="n"/>
    </row>
    <row r="5">
      <c r="A5" s="10" t="inlineStr">
        <is>
          <t>Transverse</t>
        </is>
      </c>
      <c r="B5" s="10" t="inlineStr">
        <is>
          <t>TR-04</t>
        </is>
      </c>
      <c r="C5" s="10" t="inlineStr">
        <is>
          <t>Tous</t>
        </is>
      </c>
      <c r="D5" s="10" t="inlineStr">
        <is>
          <t>Mot de passe oublié</t>
        </is>
      </c>
      <c r="E5" s="10" t="inlineStr">
        <is>
          <t>Boîte mail accessible</t>
        </is>
      </c>
      <c r="F5" s="10" t="inlineStr">
        <is>
          <t>/comptes/mot-de-passe-oublie ; saisir l'e-mail ; ouvrir le lien reçu ; définir un nouveau mot de passe</t>
        </is>
      </c>
      <c r="G5" s="10" t="inlineStr">
        <is>
          <t>Le lien n'apparaît JAMAIS à l'écran, uniquement dans l'e-mail ; même message que l'e-mail existe ou non ; lien inutilisable une seconde fois</t>
        </is>
      </c>
      <c r="H5" s="11" t="n"/>
      <c r="I5" s="12" t="n"/>
      <c r="J5" s="11" t="n"/>
      <c r="K5" s="11" t="n"/>
      <c r="L5" s="11" t="n"/>
    </row>
    <row r="6">
      <c r="A6" s="10" t="inlineStr">
        <is>
          <t>Transverse</t>
        </is>
      </c>
      <c r="B6" s="10" t="inlineStr">
        <is>
          <t>TR-05</t>
        </is>
      </c>
      <c r="C6" s="10" t="inlineStr">
        <is>
          <t>Tous</t>
        </is>
      </c>
      <c r="D6" s="10" t="inlineStr">
        <is>
          <t>Déconnexion</t>
        </is>
      </c>
      <c r="E6" s="10" t="inlineStr">
        <is>
          <t>Connecté</t>
        </is>
      </c>
      <c r="F6" s="10" t="inlineStr">
        <is>
          <t>Menu utilisateur &gt; Déconnexion ; bouton Précédent du navigateur</t>
        </is>
      </c>
      <c r="G6" s="10" t="inlineStr">
        <is>
          <t>Retour à la connexion ; aucune page protégée réaffichée</t>
        </is>
      </c>
      <c r="H6" s="11" t="n"/>
      <c r="I6" s="12" t="n"/>
      <c r="J6" s="11" t="n"/>
      <c r="K6" s="11" t="n"/>
      <c r="L6" s="11" t="n"/>
    </row>
    <row r="7">
      <c r="A7" s="10" t="inlineStr">
        <is>
          <t>Transverse</t>
        </is>
      </c>
      <c r="B7" s="10" t="inlineStr">
        <is>
          <t>TR-06</t>
        </is>
      </c>
      <c r="C7" s="10" t="inlineStr">
        <is>
          <t>Tous</t>
        </is>
      </c>
      <c r="D7" s="10" t="inlineStr">
        <is>
          <t>Accès direct par URL</t>
        </is>
      </c>
      <c r="E7" s="10" t="inlineStr">
        <is>
          <t>Connecté avec un profil limité</t>
        </is>
      </c>
      <c r="F7" s="10" t="inlineStr">
        <is>
          <t>Saisir l'URL d'un écran non autorisé (ex. /administration/comptes-agents)</t>
        </is>
      </c>
      <c r="G7" s="10" t="inlineStr">
        <is>
          <t>Page « Accès refusé » ; aucune donnée affichée</t>
        </is>
      </c>
      <c r="H7" s="11" t="n"/>
      <c r="I7" s="12" t="n"/>
      <c r="J7" s="11" t="n"/>
      <c r="K7" s="11" t="n"/>
      <c r="L7" s="11" t="n"/>
    </row>
    <row r="8">
      <c r="A8" s="10" t="inlineStr">
        <is>
          <t>Transverse</t>
        </is>
      </c>
      <c r="B8" s="10" t="inlineStr">
        <is>
          <t>TR-07</t>
        </is>
      </c>
      <c r="C8" s="10" t="inlineStr">
        <is>
          <t>Tous</t>
        </is>
      </c>
      <c r="D8" s="10" t="inlineStr">
        <is>
          <t>Cloisonnement des sociétés</t>
        </is>
      </c>
      <c r="E8" s="10" t="inlineStr">
        <is>
          <t>2 comptes clients de sociétés différentes</t>
        </is>
      </c>
      <c r="F8" s="10" t="inlineStr">
        <is>
          <t>Avec la société A, copier l'URL d'un ticket ; l'ouvrir connecté avec la société B</t>
        </is>
      </c>
      <c r="G8" s="10" t="inlineStr">
        <is>
          <t>Accès refusé ; aucune donnée de A visible</t>
        </is>
      </c>
      <c r="H8" s="11" t="n"/>
      <c r="I8" s="12" t="n"/>
      <c r="J8" s="11" t="n"/>
      <c r="K8" s="11" t="n"/>
      <c r="L8" s="11" t="n"/>
    </row>
    <row r="9">
      <c r="A9" s="10" t="inlineStr">
        <is>
          <t>Transverse</t>
        </is>
      </c>
      <c r="B9" s="10" t="inlineStr">
        <is>
          <t>TR-08</t>
        </is>
      </c>
      <c r="C9" s="10" t="inlineStr">
        <is>
          <t>Tous</t>
        </is>
      </c>
      <c r="D9" s="10" t="inlineStr">
        <is>
          <t>Langue FR / EN</t>
        </is>
      </c>
      <c r="E9" s="10" t="inlineStr">
        <is>
          <t>—</t>
        </is>
      </c>
      <c r="F9" s="10" t="inlineStr">
        <is>
          <t>Basculer FR ⇄ EN sur plusieurs écrans</t>
        </is>
      </c>
      <c r="G9" s="10" t="inlineStr">
        <is>
          <t>Tous les libellés traduits ; aucune clé technique (ex. « Dash.Title ») affichée</t>
        </is>
      </c>
      <c r="H9" s="11" t="n"/>
      <c r="I9" s="12" t="n"/>
      <c r="J9" s="11" t="n"/>
      <c r="K9" s="11" t="n"/>
      <c r="L9" s="11" t="n"/>
    </row>
    <row r="10">
      <c r="A10" s="10" t="inlineStr">
        <is>
          <t>Transverse</t>
        </is>
      </c>
      <c r="B10" s="10" t="inlineStr">
        <is>
          <t>TR-09</t>
        </is>
      </c>
      <c r="C10" s="10" t="inlineStr">
        <is>
          <t>Tous</t>
        </is>
      </c>
      <c r="D10" s="10" t="inlineStr">
        <is>
          <t>Thème clair / sombre</t>
        </is>
      </c>
      <c r="E10" s="10" t="inlineStr">
        <is>
          <t>—</t>
        </is>
      </c>
      <c r="F10" s="10" t="inlineStr">
        <is>
          <t>Basculer le thème ; naviguer sur 3 pages ; provoquer une erreur de saisie</t>
        </is>
      </c>
      <c r="G10" s="10" t="inlineStr">
        <is>
          <t>Le thème choisi est conservé partout ; textes lisibles</t>
        </is>
      </c>
      <c r="H10" s="11" t="n"/>
      <c r="I10" s="12" t="n"/>
      <c r="J10" s="11" t="n"/>
      <c r="K10" s="11" t="n"/>
      <c r="L10" s="11" t="n"/>
    </row>
    <row r="11">
      <c r="A11" s="10" t="inlineStr">
        <is>
          <t>Transverse</t>
        </is>
      </c>
      <c r="B11" s="10" t="inlineStr">
        <is>
          <t>TR-10</t>
        </is>
      </c>
      <c r="C11" s="10" t="inlineStr">
        <is>
          <t>Tous</t>
        </is>
      </c>
      <c r="D11" s="10" t="inlineStr">
        <is>
          <t>Pagination des tables</t>
        </is>
      </c>
      <c r="E11" s="10" t="inlineStr">
        <is>
          <t>Table de plus de 10 lignes</t>
        </is>
      </c>
      <c r="F11" s="10" t="inlineStr">
        <is>
          <t>Changer de page et de taille de page</t>
        </is>
      </c>
      <c r="G11" s="10" t="inlineStr">
        <is>
          <t>Compteur « x–y sur N » exact ; aucune ligne perdue ni dupliquée</t>
        </is>
      </c>
      <c r="H11" s="11" t="n"/>
      <c r="I11" s="12" t="n"/>
      <c r="J11" s="11" t="n"/>
      <c r="K11" s="11" t="n"/>
      <c r="L11" s="11" t="n"/>
    </row>
    <row r="12">
      <c r="A12" s="10" t="inlineStr">
        <is>
          <t>Transverse</t>
        </is>
      </c>
      <c r="B12" s="10" t="inlineStr">
        <is>
          <t>TR-11</t>
        </is>
      </c>
      <c r="C12" s="10" t="inlineStr">
        <is>
          <t>Tous</t>
        </is>
      </c>
      <c r="D12" s="10" t="inlineStr">
        <is>
          <t>Filtre des tables</t>
        </is>
      </c>
      <c r="E12" s="10" t="inlineStr">
        <is>
          <t>Table remplie</t>
        </is>
      </c>
      <c r="F12" s="10" t="inlineStr">
        <is>
          <t>Saisir un numéro, un nom, une date (ex. 26/09/2026), avec et sans accents</t>
        </is>
      </c>
      <c r="G12" s="10" t="inlineStr">
        <is>
          <t>Seules les lignes correspondantes restent ; compteur « N sur M » ; effacer le filtre restaure la liste</t>
        </is>
      </c>
      <c r="H12" s="11" t="n"/>
      <c r="I12" s="12" t="n"/>
      <c r="J12" s="11" t="n"/>
      <c r="K12" s="11" t="n"/>
      <c r="L12" s="11" t="n"/>
    </row>
    <row r="13">
      <c r="A13" s="10" t="inlineStr">
        <is>
          <t>Transverse</t>
        </is>
      </c>
      <c r="B13" s="10" t="inlineStr">
        <is>
          <t>TR-12</t>
        </is>
      </c>
      <c r="C13" s="10" t="inlineStr">
        <is>
          <t>Tous</t>
        </is>
      </c>
      <c r="D13" s="10" t="inlineStr">
        <is>
          <t>Horodatage</t>
        </is>
      </c>
      <c r="E13" s="10" t="inlineStr">
        <is>
          <t>Faire une action en notant l'heure réelle</t>
        </is>
      </c>
      <c r="F13" s="10" t="inlineStr">
        <is>
          <t>Consulter la liste, la chronologie et le journal d'audit correspondants</t>
        </is>
      </c>
      <c r="G13" s="10" t="inlineStr">
        <is>
          <t>Date ET heure au format JJ/MM/AAAA HH:mm, heure d'Abidjan, égale à l'heure réelle (± 1 min) ; journal d'audit à la seconde</t>
        </is>
      </c>
      <c r="H13" s="11" t="n"/>
      <c r="I13" s="12" t="n"/>
      <c r="J13" s="11" t="n"/>
      <c r="K13" s="11" t="n"/>
      <c r="L13" s="11" t="n"/>
    </row>
    <row r="14">
      <c r="A14" s="10" t="inlineStr">
        <is>
          <t>Transverse</t>
        </is>
      </c>
      <c r="B14" s="10" t="inlineStr">
        <is>
          <t>TR-13</t>
        </is>
      </c>
      <c r="C14" s="10" t="inlineStr">
        <is>
          <t>Tous</t>
        </is>
      </c>
      <c r="D14" s="10" t="inlineStr">
        <is>
          <t>Aperçu des pièces jointes</t>
        </is>
      </c>
      <c r="E14" s="10" t="inlineStr">
        <is>
          <t>Ticket avec un PDF, une image et un fichier Excel</t>
        </is>
      </c>
      <c r="F14" s="10" t="inlineStr">
        <is>
          <t>Cliquer « 👁 Ouvrir » sur chaque pièce ; fermer par Échap puis par clic hors de la fenêtre ; télécharger depuis l'aperçu</t>
        </is>
      </c>
      <c r="G14" s="10" t="inlineStr">
        <is>
          <t>PDF et image lisibles dans l'application ; autre format : invitation à télécharger ; fermeture propre</t>
        </is>
      </c>
      <c r="H14" s="11" t="n"/>
      <c r="I14" s="12" t="n"/>
      <c r="J14" s="11" t="n"/>
      <c r="K14" s="11" t="n"/>
      <c r="L14" s="11" t="n"/>
    </row>
    <row r="15">
      <c r="A15" s="10" t="inlineStr">
        <is>
          <t>Transverse</t>
        </is>
      </c>
      <c r="B15" s="10" t="inlineStr">
        <is>
          <t>TR-14</t>
        </is>
      </c>
      <c r="C15" s="10" t="inlineStr">
        <is>
          <t>Tous</t>
        </is>
      </c>
      <c r="D15" s="10" t="inlineStr">
        <is>
          <t>Notifications</t>
        </is>
      </c>
      <c r="E15" s="10" t="inlineStr">
        <is>
          <t>Action qui génère une notification</t>
        </is>
      </c>
      <c r="F15" s="10" t="inlineStr">
        <is>
          <t>Cloche en haut à droite ; /notifications ; /notifications/preferences</t>
        </is>
      </c>
      <c r="G15" s="10" t="inlineStr">
        <is>
          <t>Notification reçue et marquable comme lue ; préférences respectées ; e-mail reçu si activé</t>
        </is>
      </c>
      <c r="H15" s="11" t="n"/>
      <c r="I15" s="12" t="n"/>
      <c r="J15" s="11" t="n"/>
      <c r="K15" s="11" t="n"/>
      <c r="L15" s="11" t="n"/>
    </row>
    <row r="16">
      <c r="A16" s="10" t="inlineStr">
        <is>
          <t>Transverse</t>
        </is>
      </c>
      <c r="B16" s="10" t="inlineStr">
        <is>
          <t>TR-15</t>
        </is>
      </c>
      <c r="C16" s="10" t="inlineStr">
        <is>
          <t>Tous</t>
        </is>
      </c>
      <c r="D16" s="10" t="inlineStr">
        <is>
          <t>Affichage mobile</t>
        </is>
      </c>
      <c r="E16" s="10" t="inlineStr">
        <is>
          <t>Téléphone ou mode mobile du navigateur (375 px)</t>
        </is>
      </c>
      <c r="F16" s="10" t="inlineStr">
        <is>
          <t>Parcourir un tableau de bord, une liste et une fiche</t>
        </is>
      </c>
      <c r="G16" s="10" t="inlineStr">
        <is>
          <t>Menu repliable ; pas de défilement horizontal de la page ; boutons utilisables</t>
        </is>
      </c>
      <c r="H16" s="11" t="n"/>
      <c r="I16" s="12" t="n"/>
      <c r="J16" s="11" t="n"/>
      <c r="K16" s="11" t="n"/>
      <c r="L16" s="11" t="n"/>
    </row>
    <row r="17">
      <c r="A17" s="10" t="inlineStr">
        <is>
          <t>Transverse</t>
        </is>
      </c>
      <c r="B17" s="10" t="inlineStr">
        <is>
          <t>TR-16</t>
        </is>
      </c>
      <c r="C17" s="10" t="inlineStr">
        <is>
          <t>Tous</t>
        </is>
      </c>
      <c r="D17" s="10" t="inlineStr">
        <is>
          <t>Assistant conversationnel</t>
        </is>
      </c>
      <c r="E17" s="10" t="inlineStr">
        <is>
          <t>—</t>
        </is>
      </c>
      <c r="F17" s="10" t="inlineStr">
        <is>
          <t>/assistant : poser « comment suivre mon dossier ? » puis une question hors sujet</t>
        </is>
      </c>
      <c r="G17" s="10" t="inlineStr">
        <is>
          <t>Réponse pertinente ; orientation vers un ticket si hors sujet</t>
        </is>
      </c>
      <c r="H17" s="11" t="n"/>
      <c r="I17" s="12" t="n"/>
      <c r="J17" s="11" t="n"/>
      <c r="K17" s="11" t="n"/>
      <c r="L17" s="11" t="n"/>
    </row>
    <row r="18">
      <c r="A18" s="10" t="inlineStr">
        <is>
          <t>Transverse</t>
        </is>
      </c>
      <c r="B18" s="10" t="inlineStr">
        <is>
          <t>TR-17</t>
        </is>
      </c>
      <c r="C18" s="10" t="inlineStr">
        <is>
          <t>Tous</t>
        </is>
      </c>
      <c r="D18" s="10" t="inlineStr">
        <is>
          <t>Session expirée</t>
        </is>
      </c>
      <c r="E18" s="10" t="inlineStr">
        <is>
          <t>Connecté</t>
        </is>
      </c>
      <c r="F18" s="10" t="inlineStr">
        <is>
          <t>Laisser la session inactive au-delà du délai, puis cliquer une action</t>
        </is>
      </c>
      <c r="G18" s="10" t="inlineStr">
        <is>
          <t>Retour à la connexion ; aucune erreur technique brute affichée</t>
        </is>
      </c>
      <c r="H18" s="11" t="n"/>
      <c r="I18" s="12" t="n"/>
      <c r="J18" s="11" t="n"/>
      <c r="K18" s="11" t="n"/>
      <c r="L18" s="11" t="n"/>
    </row>
    <row r="19">
      <c r="A19" s="10" t="inlineStr">
        <is>
          <t>Transverse</t>
        </is>
      </c>
      <c r="B19" s="10" t="inlineStr">
        <is>
          <t>TR-18</t>
        </is>
      </c>
      <c r="C19" s="10" t="inlineStr">
        <is>
          <t>Tous</t>
        </is>
      </c>
      <c r="D19" s="10" t="inlineStr">
        <is>
          <t>Navigation par rail d'icônes</t>
        </is>
      </c>
      <c r="E19" s="10" t="inlineStr">
        <is>
          <t>Connecté, écran ≥ 992 px</t>
        </is>
      </c>
      <c r="F19" s="10" t="inlineStr">
        <is>
          <t>Survoler chaque icône du rail ; parcourir le rail au clavier (Tab) ; ouvrir une page</t>
        </is>
      </c>
      <c r="G19" s="10" t="inlineStr">
        <is>
          <t>Un panneau de liens s'ouvre au survol ET au clavier ; le groupe de la page active est en pastille blanche ; le rail couvre toute la hauteur</t>
        </is>
      </c>
      <c r="H19" s="11" t="n"/>
      <c r="I19" s="12" t="n"/>
      <c r="J19" s="11" t="n"/>
      <c r="K19" s="11" t="n"/>
      <c r="L19" s="11" t="n"/>
    </row>
    <row r="20">
      <c r="A20" s="10" t="inlineStr">
        <is>
          <t>Transverse</t>
        </is>
      </c>
      <c r="B20" s="10" t="inlineStr">
        <is>
          <t>TR-19</t>
        </is>
      </c>
      <c r="C20" s="10" t="inlineStr">
        <is>
          <t>Tous</t>
        </is>
      </c>
      <c r="D20" s="10" t="inlineStr">
        <is>
          <t>Recherche d'écran (Ctrl+K)</t>
        </is>
      </c>
      <c r="E20" s="10" t="inlineStr">
        <is>
          <t>Connecté</t>
        </is>
      </c>
      <c r="F20" s="10" t="inlineStr">
        <is>
          <t>Ctrl+K ; taper le début d'un libellé de menu ; choisir un écran</t>
        </is>
      </c>
      <c r="G20" s="10" t="inlineStr">
        <is>
          <t>Seuls les écrans du menu du compte sont proposés ; le choix ouvre l'écran</t>
        </is>
      </c>
      <c r="H20" s="11" t="n"/>
      <c r="I20" s="12" t="n"/>
      <c r="J20" s="11" t="n"/>
      <c r="K20" s="11" t="n"/>
      <c r="L20" s="11" t="n"/>
    </row>
    <row r="21">
      <c r="A21" s="10" t="inlineStr">
        <is>
          <t>Transverse</t>
        </is>
      </c>
      <c r="B21" s="10" t="inlineStr">
        <is>
          <t>TR-20</t>
        </is>
      </c>
      <c r="C21" s="10" t="inlineStr">
        <is>
          <t>Tous</t>
        </is>
      </c>
      <c r="D21" s="10" t="inlineStr">
        <is>
          <t>Changement d'espace dans la barre</t>
        </is>
      </c>
      <c r="E21" s="10" t="inlineStr">
        <is>
          <t>Compte à plusieurs espaces (ex. super-admin)</t>
        </is>
      </c>
      <c r="F21" s="10" t="inlineStr">
        <is>
          <t>Cliquer la pastille d'espace en haut à gauche ; choisir un autre espace ; clic hors du menu, puis Échap</t>
        </is>
      </c>
      <c r="G21" s="10" t="inlineStr">
        <is>
          <t>Liste des espaces, l'actif coché ; bascule vers la 1re page accessible du nouvel espace ; le menu se referme au clic extérieur et à Échap. Compte à un seul espace : simple pastille, sans menu</t>
        </is>
      </c>
      <c r="H21" s="11" t="n"/>
      <c r="I21" s="12" t="n"/>
      <c r="J21" s="11" t="n"/>
      <c r="K21" s="11" t="n"/>
      <c r="L21" s="11" t="n"/>
    </row>
    <row r="22">
      <c r="A22" s="10" t="inlineStr">
        <is>
          <t>Transverse</t>
        </is>
      </c>
      <c r="B22" s="10" t="inlineStr">
        <is>
          <t>TR-21</t>
        </is>
      </c>
      <c r="C22" s="10" t="inlineStr">
        <is>
          <t>Tous</t>
        </is>
      </c>
      <c r="D22" s="10" t="inlineStr">
        <is>
          <t>Page d'accueil par rôle</t>
        </is>
      </c>
      <c r="E22" s="10" t="inlineStr">
        <is>
          <t>Un compte par rôle</t>
        </is>
      </c>
      <c r="F22" s="10" t="inlineStr">
        <is>
          <t>Se connecter avec chaque compte (client, transporteur, agent, superviseur, admin, Support N1)</t>
        </is>
      </c>
      <c r="G22" s="10" t="inlineStr">
        <is>
          <t>Chacun arrive sur la 1re entrée accessible de son menu ; jamais sur un écran « Accès refusé » ou en erreur</t>
        </is>
      </c>
      <c r="H22" s="11" t="n"/>
      <c r="I22" s="12" t="n"/>
      <c r="J22" s="11" t="n"/>
      <c r="K22" s="11" t="n"/>
      <c r="L22" s="11" t="n"/>
    </row>
    <row r="23">
      <c r="A23" s="10" t="inlineStr">
        <is>
          <t>Transverse</t>
        </is>
      </c>
      <c r="B23" s="10" t="inlineStr">
        <is>
          <t>TR-22</t>
        </is>
      </c>
      <c r="C23" s="10" t="inlineStr">
        <is>
          <t>Tous</t>
        </is>
      </c>
      <c r="D23" s="10" t="inlineStr">
        <is>
          <t>Saisie du code 2FA</t>
        </is>
      </c>
      <c r="E23" s="10" t="inlineStr">
        <is>
          <t>Compte avec 2FA</t>
        </is>
      </c>
      <c r="F23" s="10" t="inlineStr">
        <is>
          <t>Taper le code chiffre par chiffre ; recommencer en collant le code ; sur téléphone, utiliser la suggestion du clavier</t>
        </is>
      </c>
      <c r="G23" s="10" t="inlineStr">
        <is>
          <t>6 cases, curseur sur la case active ; code complet : les cases forment un anneau qui tourne, puis validation automatique</t>
        </is>
      </c>
      <c r="H23" s="11" t="n"/>
      <c r="I23" s="12" t="n"/>
      <c r="J23" s="11" t="n"/>
      <c r="K23" s="11" t="n"/>
      <c r="L23" s="11" t="n"/>
    </row>
    <row r="24">
      <c r="A24" s="10" t="inlineStr">
        <is>
          <t>Transverse</t>
        </is>
      </c>
      <c r="B24" s="10" t="inlineStr">
        <is>
          <t>TR-23</t>
        </is>
      </c>
      <c r="C24" s="10" t="inlineStr">
        <is>
          <t>Tous</t>
        </is>
      </c>
      <c r="D24" s="10" t="inlineStr">
        <is>
          <t>Thème sombre sur toutes les pages</t>
        </is>
      </c>
      <c r="E24" s="10" t="inlineStr">
        <is>
          <t>Thème Sombre choisi</t>
        </is>
      </c>
      <c r="F24" s="10" t="inlineStr">
        <is>
          <t>Parcourir chaque écran de son profil (listes, fiches, formulaires, modales)</t>
        </is>
      </c>
      <c r="G24" s="10" t="inlineStr">
        <is>
          <t>Aucun texte sombre sur fond sombre, aucun bloc blanc éblouissant ; champs, tableaux et bordures suivent le thème</t>
        </is>
      </c>
      <c r="H24" s="11" t="n"/>
      <c r="I24" s="12" t="n"/>
      <c r="J24" s="11" t="n"/>
      <c r="K24" s="11" t="n"/>
      <c r="L24" s="11" t="n"/>
    </row>
    <row r="25">
      <c r="A25" s="10" t="inlineStr">
        <is>
          <t>Transverse</t>
        </is>
      </c>
      <c r="B25" s="10" t="inlineStr">
        <is>
          <t>TR-24</t>
        </is>
      </c>
      <c r="C25" s="10" t="inlineStr">
        <is>
          <t>Tous</t>
        </is>
      </c>
      <c r="D25" s="10" t="inlineStr">
        <is>
          <t>Lien de mot de passe (validité 2 h)</t>
        </is>
      </c>
      <c r="E25" s="10" t="inlineStr">
        <is>
          <t>Lien « mot de passe oublié » reçu</t>
        </is>
      </c>
      <c r="F25" s="10" t="inlineStr">
        <is>
          <t>Utiliser le lien ; réutiliser le même lien ; utiliser un lien reçu il y a plus de 2 heures</t>
        </is>
      </c>
      <c r="G25" s="10" t="inlineStr">
        <is>
          <t>1er usage : OK. Réutilisation ou lien &gt; 2 h : message clair « lien expiré ou déjà utilisé », jamais « Invalid token »</t>
        </is>
      </c>
      <c r="H25" s="11" t="n"/>
      <c r="I25" s="12" t="n"/>
      <c r="J25" s="11" t="n"/>
      <c r="K25" s="11" t="n"/>
      <c r="L25" s="11" t="n"/>
    </row>
    <row r="26">
      <c r="A26" s="10" t="inlineStr">
        <is>
          <t>Transverse</t>
        </is>
      </c>
      <c r="B26" s="10" t="inlineStr">
        <is>
          <t>TR-25</t>
        </is>
      </c>
      <c r="C26" s="10" t="inlineStr">
        <is>
          <t>Tous</t>
        </is>
      </c>
      <c r="D26" s="10" t="inlineStr">
        <is>
          <t>Codes de secours 2FA</t>
        </is>
      </c>
      <c r="E26" s="10" t="inlineStr">
        <is>
          <t>Compte avec 2FA</t>
        </is>
      </c>
      <c r="F26" s="10" t="inlineStr">
        <is>
          <t>Sécurité (2FA) : « Régénérer les codes de secours » ; télécharger le .txt ; se déconnecter ; à la connexion, « Utiliser un code de secours » avec un code ; réessayer le MÊME code</t>
        </is>
      </c>
      <c r="G26" s="10" t="inlineStr">
        <is>
          <t>10 codes affichés une seule fois ; connexion réussie avec un code ; le même code est ensuite refusé ; le compteur restant diminue</t>
        </is>
      </c>
      <c r="H26" s="11" t="n"/>
      <c r="I26" s="12" t="n"/>
      <c r="J26" s="11" t="n"/>
      <c r="K26" s="11" t="n"/>
      <c r="L26" s="11" t="n"/>
    </row>
    <row r="27">
      <c r="A27" s="10" t="inlineStr">
        <is>
          <t>Transverse</t>
        </is>
      </c>
      <c r="B27" s="10" t="inlineStr">
        <is>
          <t>TR-26</t>
        </is>
      </c>
      <c r="C27" s="10" t="inlineStr">
        <is>
          <t>Tous</t>
        </is>
      </c>
      <c r="D27" s="10" t="inlineStr">
        <is>
          <t>Aide de l'écran (bouton « ? »)</t>
        </is>
      </c>
      <c r="E27" s="10" t="inlineStr">
        <is>
          <t>Connecté</t>
        </is>
      </c>
      <c r="F27" s="10" t="inlineStr">
        <is>
          <t>Sur 3 écrans différents, cliquer « ? » en haut à droite ; fermer par Échap puis par clic hors du panneau ; basculer en EN et rouvrir</t>
        </is>
      </c>
      <c r="G27" s="10" t="inlineStr">
        <is>
          <t>Le panneau affiche l'aide de l'écran courant (titre, étapes, astuce) dans la langue choisie ; liens Centre d'aide, Assistant, Signaler un problème ; écran sans fiche : message explicite, jamais d'erreur</t>
        </is>
      </c>
      <c r="H27" s="11" t="n"/>
      <c r="I27" s="12" t="n"/>
      <c r="J27" s="11" t="n"/>
      <c r="K27" s="11" t="n"/>
      <c r="L27" s="11" t="n"/>
    </row>
    <row r="28">
      <c r="A28" s="10" t="inlineStr">
        <is>
          <t>Transverse</t>
        </is>
      </c>
      <c r="B28" s="10" t="inlineStr">
        <is>
          <t>TR-27</t>
        </is>
      </c>
      <c r="C28" s="10" t="inlineStr">
        <is>
          <t>Tous</t>
        </is>
      </c>
      <c r="D28" s="10" t="inlineStr">
        <is>
          <t>Centre d'aide et recherche</t>
        </is>
      </c>
      <c r="E28" s="10" t="inlineStr">
        <is>
          <t>Connecté</t>
        </is>
      </c>
      <c r="F28" s="10" t="inlineStr">
        <is>
          <t>Menu &gt; Centre d'aide (/aide) ; parcourir les sections ; rechercher « 2FA » puis « libelles » (sans accent) ; ouvrir une fiche et « Ouvrir l'écran »</t>
        </is>
      </c>
      <c r="G28" s="10" t="inlineStr">
        <is>
          <t>Sections rangées comme le menu du compte + « Pour tous » ; aucune fiche d'un écran hors de ses droits ; recherche insensible aux accents et à la casse, fiches trouvées ouvertes ; le bouton mène au bon écran</t>
        </is>
      </c>
      <c r="H28" s="11" t="n"/>
      <c r="I28" s="12" t="n"/>
      <c r="J28" s="11" t="n"/>
      <c r="K28" s="11" t="n"/>
      <c r="L28" s="11" t="n"/>
    </row>
    <row r="29">
      <c r="A29" s="10" t="inlineStr">
        <is>
          <t>Transverse</t>
        </is>
      </c>
      <c r="B29" s="10" t="inlineStr">
        <is>
          <t>TR-28</t>
        </is>
      </c>
      <c r="C29" s="10" t="inlineStr">
        <is>
          <t>Tous</t>
        </is>
      </c>
      <c r="D29" s="10" t="inlineStr">
        <is>
          <t>Info-bulles des champs</t>
        </is>
      </c>
      <c r="E29" s="10" t="inlineStr">
        <is>
          <t>Formulaire de demande de compte, demande Import, écran 2FA</t>
        </is>
      </c>
      <c r="F29" s="10" t="inlineStr">
        <is>
          <t>Survoler puis atteindre au clavier (Tab) le « ? » à côté de RCCM, N° de BL, code 2FA ; refaire en affichage mobile (375 px)</t>
        </is>
      </c>
      <c r="G29" s="10" t="inlineStr">
        <is>
          <t>L'explication s'affiche au survol ET au focus, disparaît en quittant ; lue par le lecteur d'écran ; la bulle reste entièrement visible à l'écran</t>
        </is>
      </c>
      <c r="H29" s="11" t="n"/>
      <c r="I29" s="12" t="n"/>
      <c r="J29" s="11" t="n"/>
      <c r="K29" s="11" t="n"/>
      <c r="L29" s="11" t="n"/>
    </row>
    <row r="30">
      <c r="A30" s="10" t="inlineStr">
        <is>
          <t>Transverse</t>
        </is>
      </c>
      <c r="B30" s="10" t="inlineStr">
        <is>
          <t>TR-29</t>
        </is>
      </c>
      <c r="C30" s="10" t="inlineStr">
        <is>
          <t>Tous</t>
        </is>
      </c>
      <c r="D30" s="10" t="inlineStr">
        <is>
          <t>Visite guidée</t>
        </is>
      </c>
      <c r="E30" s="10" t="inlineStr">
        <is>
          <t>Compte qui ne l'a jamais vue (ou autre navigateur)</t>
        </is>
      </c>
      <c r="F30" s="10" t="inlineStr">
        <is>
          <t>Se connecter et ouvrir une page de travail ; suivre les étapes avec Suivant, puis avec les flèches ; fermer par Échap ; recharger ; « ? » &gt; « Revoir la visite guidée »</t>
        </is>
      </c>
      <c r="G30" s="10" t="inlineStr">
        <is>
          <t>La visite démarre seule (jamais pendant l'activation 2FA) ; chaque étape entoure l'élément présenté ; étapes sans objet sautées (ex. espace unique) ; après fermeture elle ne revient plus ; relance possible depuis « ? »</t>
        </is>
      </c>
      <c r="H30" s="11" t="n"/>
      <c r="I30" s="12" t="n"/>
      <c r="J30" s="11" t="n"/>
      <c r="K30" s="11" t="n"/>
      <c r="L30" s="11" t="n"/>
    </row>
    <row r="31">
      <c r="A31" s="10" t="inlineStr">
        <is>
          <t>Transverse</t>
        </is>
      </c>
      <c r="B31" s="10" t="inlineStr">
        <is>
          <t>TR-30</t>
        </is>
      </c>
      <c r="C31" s="10" t="inlineStr">
        <is>
          <t>Tous</t>
        </is>
      </c>
      <c r="D31" s="10" t="inlineStr">
        <is>
          <t>Parler à un conseiller</t>
        </is>
      </c>
      <c r="E31" s="10" t="inlineStr">
        <is>
          <t>Compte client avec au moins un dossier</t>
        </is>
      </c>
      <c r="F31" s="10" t="inlineStr">
        <is>
          <t>Ouvrir l'assistant ; poser une question ; cliquer « Parler à un conseiller » ; saisir le NUMÉRO du dossier (tel qu'affiché dans Mes demandes) ; « Transmettre à un opérateur »</t>
        </is>
      </c>
      <c r="G31" s="10" t="inlineStr">
        <is>
          <t>Conversation transmise et visible dans le dossier ; un numéro inconnu ou d'une autre société est refusé</t>
        </is>
      </c>
      <c r="H31" s="11" t="n"/>
      <c r="I31" s="12" t="n"/>
      <c r="J31" s="11" t="n"/>
      <c r="K31" s="11" t="n"/>
      <c r="L31" s="11" t="n"/>
    </row>
    <row r="32">
      <c r="A32" s="10" t="inlineStr">
        <is>
          <t>Transverse</t>
        </is>
      </c>
      <c r="B32" s="10" t="inlineStr">
        <is>
          <t>TR-31</t>
        </is>
      </c>
      <c r="C32" s="10" t="inlineStr">
        <is>
          <t>Tous</t>
        </is>
      </c>
      <c r="D32" s="10" t="inlineStr">
        <is>
          <t>Assistant tolérant</t>
        </is>
      </c>
      <c r="E32" s="10" t="inlineStr">
        <is>
          <t>Compte client</t>
        </is>
      </c>
      <c r="F32" s="10" t="inlineStr">
        <is>
          <t>Demander à l'assistant « reclammation » (faute de frappe), puis « RECLAMATION » sans accent</t>
        </is>
      </c>
      <c r="G32" s="10" t="inlineStr">
        <is>
          <t>Réponse sur les réclamations dans les deux cas, avec la ligne « Source : base de connaissances YABA … »</t>
        </is>
      </c>
      <c r="H32" s="11" t="n"/>
      <c r="I32" s="12" t="n"/>
      <c r="J32" s="11" t="n"/>
      <c r="K32" s="11" t="n"/>
      <c r="L32" s="11" t="n"/>
    </row>
    <row r="33">
      <c r="A33" s="10" t="inlineStr">
        <is>
          <t>Transverse</t>
        </is>
      </c>
      <c r="B33" s="10" t="inlineStr">
        <is>
          <t>TR-32</t>
        </is>
      </c>
      <c r="C33" s="10" t="inlineStr">
        <is>
          <t>Tous</t>
        </is>
      </c>
      <c r="D33" s="10" t="inlineStr">
        <is>
          <t>Historique lisible</t>
        </is>
      </c>
      <c r="E33" s="10" t="inlineStr">
        <is>
          <t>Un ticket avec plusieurs étapes</t>
        </is>
      </c>
      <c r="F33" s="10" t="inlineStr">
        <is>
          <t>Ouvrir l'onglet Historique d'une fiche</t>
        </is>
      </c>
      <c r="G33" s="10" t="inlineStr">
        <is>
          <t>Libellés accentués (« Document déposé », « Ticket pris en charge ») ; jamais d'identifiant technique (operateur=…) ; détails traduits (« N° BL : … »)</t>
        </is>
      </c>
      <c r="H33" s="11" t="n"/>
      <c r="I33" s="12" t="n"/>
      <c r="J33" s="11" t="n"/>
      <c r="K33" s="11" t="n"/>
      <c r="L33" s="11" t="n"/>
    </row>
    <row r="34">
      <c r="A34" s="10" t="inlineStr">
        <is>
          <t>Transverse</t>
        </is>
      </c>
      <c r="B34" s="10" t="inlineStr">
        <is>
          <t>TR-33</t>
        </is>
      </c>
      <c r="C34" s="10" t="inlineStr">
        <is>
          <t>Tous</t>
        </is>
      </c>
      <c r="D34" s="10" t="inlineStr">
        <is>
          <t>En-tête sur portable</t>
        </is>
      </c>
      <c r="E34" s="10" t="inlineStr">
        <is>
          <t>Fenêtre de 1280 à 1440 px</t>
        </is>
      </c>
      <c r="F34" s="10" t="inlineStr">
        <is>
          <t>Parcourir quelques pages avec un compte au nom ou à l'e-mail long</t>
        </is>
      </c>
      <c r="G34" s="10" t="inlineStr">
        <is>
          <t>Aucun défilement horizontal ; compteur de notifications « 99+ » lisible ; langue et thème sur une ligne</t>
        </is>
      </c>
      <c r="H34" s="11" t="n"/>
      <c r="I34" s="12" t="n"/>
      <c r="J34" s="11" t="n"/>
      <c r="K34" s="11" t="n"/>
      <c r="L34" s="11" t="n"/>
    </row>
    <row r="35">
      <c r="A35" s="10" t="inlineStr">
        <is>
          <t>Transverse</t>
        </is>
      </c>
      <c r="B35" s="10" t="inlineStr">
        <is>
          <t>TR-34</t>
        </is>
      </c>
      <c r="C35" s="10" t="inlineStr">
        <is>
          <t>Tous</t>
        </is>
      </c>
      <c r="D35" s="10" t="inlineStr">
        <is>
          <t>Bulle de l'assistant</t>
        </is>
      </c>
      <c r="E35" s="10" t="inlineStr">
        <is>
          <t>Liste longue (demandes, files)</t>
        </is>
      </c>
      <c r="F35" s="10" t="inlineStr">
        <is>
          <t>Faire défiler jusqu'en bas</t>
        </is>
      </c>
      <c r="G35" s="10" t="inlineStr">
        <is>
          <t>La bulle de l'assistant ne masque jamais le dernier bouton ; l'assistant s'ouvre sur le dernier message</t>
        </is>
      </c>
      <c r="H35" s="11" t="n"/>
      <c r="I35" s="12" t="n"/>
      <c r="J35" s="11" t="n"/>
      <c r="K35" s="11" t="n"/>
      <c r="L35" s="11" t="n"/>
    </row>
    <row r="36">
      <c r="A36" s="10" t="inlineStr">
        <is>
          <t>Transverse</t>
        </is>
      </c>
      <c r="B36" s="10" t="inlineStr">
        <is>
          <t>TR-35</t>
        </is>
      </c>
      <c r="C36" s="10" t="inlineStr">
        <is>
          <t>Tous</t>
        </is>
      </c>
      <c r="D36" s="10" t="inlineStr">
        <is>
          <t>Interface entièrement bilingue</t>
        </is>
      </c>
      <c r="E36" s="10" t="inlineStr">
        <is>
          <t>Un compte par rôle</t>
        </is>
      </c>
      <c r="F36" s="10" t="inlineStr">
        <is>
          <t>Passer en anglais ; parcourir toutes les entrées du menu ; provoquer des erreurs de saisie (champ vide, mot de passe trop court)</t>
        </is>
      </c>
      <c r="G36" s="10" t="inlineStr">
        <is>
          <t>Aucun texte de l'application en français : menus, titres, boutons, statuts, noms de files, messages d'erreur métier et messages de compte (« The password must be at least 10 characters long »)</t>
        </is>
      </c>
      <c r="H36" s="11" t="n"/>
      <c r="I36" s="12" t="n"/>
      <c r="J36" s="11" t="n"/>
      <c r="K36" s="11" t="n"/>
      <c r="L36" s="11" t="n"/>
    </row>
    <row r="37">
      <c r="A37" s="10" t="inlineStr">
        <is>
          <t>Transverse</t>
        </is>
      </c>
      <c r="B37" s="10" t="inlineStr">
        <is>
          <t>TR-36</t>
        </is>
      </c>
      <c r="C37" s="10" t="inlineStr">
        <is>
          <t>Tous</t>
        </is>
      </c>
      <c r="D37" s="10" t="inlineStr">
        <is>
          <t>Langue retenue sur le compte</t>
        </is>
      </c>
      <c r="E37" s="10" t="inlineStr">
        <is>
          <t>Compte connecté</t>
        </is>
      </c>
      <c r="F37" s="10" t="inlineStr">
        <is>
          <t>Changer de langue ; se déconnecter ; déclencher une notification sur ce compte</t>
        </is>
      </c>
      <c r="G37" s="10" t="inlineStr">
        <is>
          <t>La langue choisie est mémorisée sur le compte ; notifications et e-mails suivants dans cette langue</t>
        </is>
      </c>
      <c r="H37" s="11" t="n"/>
      <c r="I37" s="12" t="n"/>
      <c r="J37" s="11" t="n"/>
      <c r="K37" s="11" t="n"/>
      <c r="L37" s="11" t="n"/>
    </row>
    <row r="38">
      <c r="A38" s="10" t="inlineStr">
        <is>
          <t>Transverse</t>
        </is>
      </c>
      <c r="B38" s="10" t="inlineStr">
        <is>
          <t>TR-37</t>
        </is>
      </c>
      <c r="C38" s="10" t="inlineStr">
        <is>
          <t>Tous</t>
        </is>
      </c>
      <c r="D38" s="10" t="inlineStr">
        <is>
          <t>Sonde de disponibilité</t>
        </is>
      </c>
      <c r="E38" s="10" t="inlineStr">
        <is>
          <t>Accès au serveur de recette</t>
        </is>
      </c>
      <c r="F38" s="10" t="inlineStr">
        <is>
          <t>Arrêter le pool IIS 5 minutes puis le redémarrer ; ouvrir /administration/disponibilite-plateforme</t>
        </is>
      </c>
      <c r="G38" s="10" t="inlineStr">
        <is>
          <t>Une interruption d'environ 5 minutes apparaît et fait baisser le taux ; refaire avec une maintenance déclarée sur la même période : le taux n'est pas affecté</t>
        </is>
      </c>
      <c r="H38" s="11" t="n"/>
      <c r="I38" s="12" t="n"/>
      <c r="J38" s="11" t="n"/>
      <c r="K38" s="11" t="n"/>
      <c r="L38" s="11" t="n"/>
    </row>
    <row r="39">
      <c r="A39" s="10" t="inlineStr">
        <is>
          <t>Transverse</t>
        </is>
      </c>
      <c r="B39" s="10" t="inlineStr">
        <is>
          <t>TR-38</t>
        </is>
      </c>
      <c r="C39" s="10" t="inlineStr">
        <is>
          <t>Tous</t>
        </is>
      </c>
      <c r="D39" s="10" t="inlineStr">
        <is>
          <t>Alerte de panne par e-mail</t>
        </is>
      </c>
      <c r="E39" s="10" t="inlineStr">
        <is>
          <t>Script mesurer-disponibilite-et-temps-reponse.ps1 installé avec -ConfigYaba</t>
        </is>
      </c>
      <c r="F39" s="10" t="inlineStr">
        <is>
          <t>Lancer avec -TesterAlerte ; puis arrêter le site plus de 2 mesures et le relancer</t>
        </is>
      </c>
      <c r="G39" s="10" t="inlineStr">
        <is>
          <t>E-mail de test reçu ; un seul e-mail « PANNE » puis un e-mail « Rétabli », expédiés par le relais SMTP de YABA</t>
        </is>
      </c>
      <c r="H39" s="11" t="n"/>
      <c r="I39" s="12" t="n"/>
      <c r="J39" s="11" t="n"/>
      <c r="K39" s="11" t="n"/>
      <c r="L39" s="11" t="n"/>
    </row>
    <row r="40">
      <c r="A40" s="10" t="inlineStr">
        <is>
          <t>Parcours rôle</t>
        </is>
      </c>
      <c r="B40" s="10" t="inlineStr">
        <is>
          <t>R01-01</t>
        </is>
      </c>
      <c r="C40" s="10" t="inlineStr">
        <is>
          <t>R01 Visiteur / prospect</t>
        </is>
      </c>
      <c r="D40" s="10" t="inlineStr">
        <is>
          <t>Demande d'ouverture de compte société</t>
        </is>
      </c>
      <c r="E40" s="10" t="inlineStr"/>
      <c r="F40" s="10" t="inlineStr">
        <is>
          <t>/comptes/soumettre : remplir raison sociale, RCCM, contact ; déposer les pièces exigées</t>
        </is>
      </c>
      <c r="G40" s="10" t="inlineStr">
        <is>
          <t>Message « compte activé après validation par CIT, vous recevrez un e-mail » ; AUCUN bouton « Se connecter » ; demande en attente chez l'administrateur (R18)</t>
        </is>
      </c>
      <c r="H40" s="11" t="n"/>
      <c r="I40" s="12" t="n"/>
      <c r="J40" s="11" t="n"/>
      <c r="K40" s="11" t="n"/>
      <c r="L40" s="11" t="n"/>
    </row>
    <row r="41">
      <c r="A41" s="10" t="inlineStr">
        <is>
          <t>Parcours rôle</t>
        </is>
      </c>
      <c r="B41" s="10" t="inlineStr">
        <is>
          <t>R01-02</t>
        </is>
      </c>
      <c r="C41" s="10" t="inlineStr">
        <is>
          <t>R01 Visiteur / prospect</t>
        </is>
      </c>
      <c r="D41" s="10" t="inlineStr">
        <is>
          <t>Pièce obligatoire manquante</t>
        </is>
      </c>
      <c r="E41" s="10" t="inlineStr"/>
      <c r="F41" s="10" t="inlineStr">
        <is>
          <t>Soumettre sans une pièce exigée</t>
        </is>
      </c>
      <c r="G41" s="10" t="inlineStr">
        <is>
          <t>Blocage avec un message qui nomme la pièce manquante</t>
        </is>
      </c>
      <c r="H41" s="11" t="n"/>
      <c r="I41" s="12" t="n"/>
      <c r="J41" s="11" t="n"/>
      <c r="K41" s="11" t="n"/>
      <c r="L41" s="11" t="n"/>
    </row>
    <row r="42">
      <c r="A42" s="10" t="inlineStr">
        <is>
          <t>Parcours rôle</t>
        </is>
      </c>
      <c r="B42" s="10" t="inlineStr">
        <is>
          <t>R01-03</t>
        </is>
      </c>
      <c r="C42" s="10" t="inlineStr">
        <is>
          <t>R01 Visiteur / prospect</t>
        </is>
      </c>
      <c r="D42" s="10" t="inlineStr">
        <is>
          <t>Demande de compte transporteur</t>
        </is>
      </c>
      <c r="E42" s="10" t="inlineStr"/>
      <c r="F42" s="10" t="inlineStr">
        <is>
          <t>Accueil : « Ouvrir un compte transporteur » (l'ancienne adresse /comptes/inscription-transporteur y mène aussi) ; vérifier le profil « Transporteur » présélectionné ; déposer l'agrément de transport ; envoyer</t>
        </is>
      </c>
      <c r="G42" s="10" t="inlineStr">
        <is>
          <t>Demande en attente de validation CIT, comme une société ; aucun accès avant validation</t>
        </is>
      </c>
      <c r="H42" s="11" t="n"/>
      <c r="I42" s="12" t="n"/>
      <c r="J42" s="11" t="n"/>
      <c r="K42" s="11" t="n"/>
      <c r="L42" s="11" t="n"/>
    </row>
    <row r="43">
      <c r="A43" s="10" t="inlineStr">
        <is>
          <t>Parcours rôle</t>
        </is>
      </c>
      <c r="B43" s="10" t="inlineStr">
        <is>
          <t>R01-04</t>
        </is>
      </c>
      <c r="C43" s="10" t="inlineStr">
        <is>
          <t>R01 Visiteur / prospect</t>
        </is>
      </c>
      <c r="D43" s="10" t="inlineStr">
        <is>
          <t>Invitation collaborateur</t>
        </is>
      </c>
      <c r="E43" s="10" t="inlineStr"/>
      <c r="F43" s="10" t="inlineStr">
        <is>
          <t>Ouvrir le lien /comptes/invitation/… reçu par e-mail ; définir le mot de passe</t>
        </is>
      </c>
      <c r="G43" s="10" t="inlineStr">
        <is>
          <t>Connexion directe sans ressaisir le mot de passe : configuration de la 2FA puis tableau de bord ; compte rattaché à la bonne société ; lien réutilisé refusé</t>
        </is>
      </c>
      <c r="H43" s="11" t="n"/>
      <c r="I43" s="12" t="n"/>
      <c r="J43" s="11" t="n"/>
      <c r="K43" s="11" t="n"/>
      <c r="L43" s="11" t="n"/>
    </row>
    <row r="44">
      <c r="A44" s="10" t="inlineStr">
        <is>
          <t>Parcours rôle</t>
        </is>
      </c>
      <c r="B44" s="10" t="inlineStr">
        <is>
          <t>R01-05</t>
        </is>
      </c>
      <c r="C44" s="10" t="inlineStr">
        <is>
          <t>R01 Visiteur / prospect</t>
        </is>
      </c>
      <c r="D44" s="10" t="inlineStr">
        <is>
          <t>Demande de compte : identité structurée</t>
        </is>
      </c>
      <c r="E44" s="10" t="inlineStr"/>
      <c r="F44" s="10" t="inlineStr">
        <is>
          <t>/comptes/soumettre : renseigner Raison sociale et N° RCCM (ex. « ci abj 2024 b 12345 »)</t>
        </is>
      </c>
      <c r="G44" s="10" t="inlineStr">
        <is>
          <t>Demande acceptée ; RCCM normalisé en CI-ABJ-2024-B-12345</t>
        </is>
      </c>
      <c r="H44" s="11" t="n"/>
      <c r="I44" s="12" t="n"/>
      <c r="J44" s="11" t="n"/>
      <c r="K44" s="11" t="n"/>
      <c r="L44" s="11" t="n"/>
    </row>
    <row r="45">
      <c r="A45" s="10" t="inlineStr">
        <is>
          <t>Parcours rôle</t>
        </is>
      </c>
      <c r="B45" s="10" t="inlineStr">
        <is>
          <t>R01-06</t>
        </is>
      </c>
      <c r="C45" s="10" t="inlineStr">
        <is>
          <t>R01 Visiteur / prospect</t>
        </is>
      </c>
      <c r="D45" s="10" t="inlineStr">
        <is>
          <t>RCCM invalide ou déjà utilisé</t>
        </is>
      </c>
      <c r="E45" s="10" t="inlineStr"/>
      <c r="F45" s="10" t="inlineStr">
        <is>
          <t>Soumettre avec un RCCM mal formé, puis avec le RCCM d'une société existante</t>
        </is>
      </c>
      <c r="G45" s="10" t="inlineStr">
        <is>
          <t>Refus avec message clair ; aucun compte utilisateur orphelin créé (l'e-mail reste réutilisable)</t>
        </is>
      </c>
      <c r="H45" s="11" t="n"/>
      <c r="I45" s="12" t="n"/>
      <c r="J45" s="11" t="n"/>
      <c r="K45" s="11" t="n"/>
      <c r="L45" s="11" t="n"/>
    </row>
    <row r="46">
      <c r="A46" s="10" t="inlineStr">
        <is>
          <t>Parcours rôle</t>
        </is>
      </c>
      <c r="B46" s="10" t="inlineStr">
        <is>
          <t>R01-07</t>
        </is>
      </c>
      <c r="C46" s="10" t="inlineStr">
        <is>
          <t>R01 Visiteur / prospect</t>
        </is>
      </c>
      <c r="D46" s="10" t="inlineStr">
        <is>
          <t>Pièces selon le profil</t>
        </is>
      </c>
      <c r="E46" s="10" t="inlineStr"/>
      <c r="F46" s="10" t="inlineStr">
        <is>
          <t>Sur /comptes/soumettre, passer le profil de « Normal » à « Transporteur » puis revenir</t>
        </is>
      </c>
      <c r="G46" s="10" t="inlineStr">
        <is>
          <t>« Agrément de transport » n'apparaît que pour le profil Transporteur ; seules les pièces obligatoires du profil choisi bloquent l'envoi</t>
        </is>
      </c>
      <c r="H46" s="11" t="n"/>
      <c r="I46" s="12" t="n"/>
      <c r="J46" s="11" t="n"/>
      <c r="K46" s="11" t="n"/>
      <c r="L46" s="11" t="n"/>
    </row>
    <row r="47">
      <c r="A47" s="10" t="inlineStr">
        <is>
          <t>Parcours rôle</t>
        </is>
      </c>
      <c r="B47" s="10" t="inlineStr">
        <is>
          <t>R01-08</t>
        </is>
      </c>
      <c r="C47" s="10" t="inlineStr">
        <is>
          <t>R01 Visiteur / prospect</t>
        </is>
      </c>
      <c r="D47" s="10" t="inlineStr">
        <is>
          <t>Menu et accès interdit</t>
        </is>
      </c>
      <c r="E47" s="10" t="inlineStr"/>
      <c r="F47" s="10" t="inlineStr">
        <is>
          <t>Vérifier le menu ; saisir l'URL d'un écran d'un autre profil</t>
        </is>
      </c>
      <c r="G47" s="10" t="inlineStr">
        <is>
          <t>Menu limité au profil ; écran étranger refusé</t>
        </is>
      </c>
      <c r="H47" s="11" t="n"/>
      <c r="I47" s="12" t="n"/>
      <c r="J47" s="11" t="n"/>
      <c r="K47" s="11" t="n"/>
      <c r="L47" s="11" t="n"/>
    </row>
    <row r="48">
      <c r="A48" s="10" t="inlineStr">
        <is>
          <t>Parcours rôle</t>
        </is>
      </c>
      <c r="B48" s="10" t="inlineStr">
        <is>
          <t>R02-01</t>
        </is>
      </c>
      <c r="C48" s="10" t="inlineStr">
        <is>
          <t>R02 Client — utilisateur société</t>
        </is>
      </c>
      <c r="D48" s="10" t="inlineStr">
        <is>
          <t>Tableau de bord</t>
        </is>
      </c>
      <c r="E48" s="10" t="inlineStr"/>
      <c r="F48" s="10" t="inlineStr">
        <is>
          <t>/client/dashboard</t>
        </is>
      </c>
      <c r="G48" s="10" t="inlineStr">
        <is>
          <t>Indicateurs limités à la société de l'utilisateur</t>
        </is>
      </c>
      <c r="H48" s="11" t="n"/>
      <c r="I48" s="12" t="n"/>
      <c r="J48" s="11" t="n"/>
      <c r="K48" s="11" t="n"/>
      <c r="L48" s="11" t="n"/>
    </row>
    <row r="49">
      <c r="A49" s="10" t="inlineStr">
        <is>
          <t>Parcours rôle</t>
        </is>
      </c>
      <c r="B49" s="10" t="inlineStr">
        <is>
          <t>R02-02</t>
        </is>
      </c>
      <c r="C49" s="10" t="inlineStr">
        <is>
          <t>R02 Client — utilisateur société</t>
        </is>
      </c>
      <c r="D49" s="10" t="inlineStr">
        <is>
          <t>Soumettre une demande Import</t>
        </is>
      </c>
      <c r="E49" s="10" t="inlineStr"/>
      <c r="F49" s="10" t="inlineStr">
        <is>
          <t>Créer un dossier Import avec un BL ; déposer les documents</t>
        </is>
      </c>
      <c r="G49" s="10" t="inlineStr">
        <is>
          <t>Numéros de dossier et de ticket attribués ; statut « Soumis » horodaté</t>
        </is>
      </c>
      <c r="H49" s="11" t="n"/>
      <c r="I49" s="12" t="n"/>
      <c r="J49" s="11" t="n"/>
      <c r="K49" s="11" t="n"/>
      <c r="L49" s="11" t="n"/>
    </row>
    <row r="50">
      <c r="A50" s="10" t="inlineStr">
        <is>
          <t>Parcours rôle</t>
        </is>
      </c>
      <c r="B50" s="10" t="inlineStr">
        <is>
          <t>R02-03</t>
        </is>
      </c>
      <c r="C50" s="10" t="inlineStr">
        <is>
          <t>R02 Client — utilisateur société</t>
        </is>
      </c>
      <c r="D50" s="10" t="inlineStr">
        <is>
          <t>Soumettre une demande Export</t>
        </is>
      </c>
      <c r="E50" s="10" t="inlineStr"/>
      <c r="F50" s="10" t="inlineStr">
        <is>
          <t>Créer un dossier Export avec un booking</t>
        </is>
      </c>
      <c r="G50" s="10" t="inlineStr">
        <is>
          <t>Dossier créé et orienté vers le Back Office Export</t>
        </is>
      </c>
      <c r="H50" s="11" t="n"/>
      <c r="I50" s="12" t="n"/>
      <c r="J50" s="11" t="n"/>
      <c r="K50" s="11" t="n"/>
      <c r="L50" s="11" t="n"/>
    </row>
    <row r="51">
      <c r="A51" s="10" t="inlineStr">
        <is>
          <t>Parcours rôle</t>
        </is>
      </c>
      <c r="B51" s="10" t="inlineStr">
        <is>
          <t>R02-04</t>
        </is>
      </c>
      <c r="C51" s="10" t="inlineStr">
        <is>
          <t>R02 Client — utilisateur société</t>
        </is>
      </c>
      <c r="D51" s="10" t="inlineStr">
        <is>
          <t>Suivre ses demandes</t>
        </is>
      </c>
      <c r="E51" s="10" t="inlineStr"/>
      <c r="F51" s="10" t="inlineStr">
        <is>
          <t>/client/demandes : filtrer, paginer, ouvrir un dossier</t>
        </is>
      </c>
      <c r="G51" s="10" t="inlineStr">
        <is>
          <t>Chronologie complète et horodatée ; statut à jour</t>
        </is>
      </c>
      <c r="H51" s="11" t="n"/>
      <c r="I51" s="12" t="n"/>
      <c r="J51" s="11" t="n"/>
      <c r="K51" s="11" t="n"/>
      <c r="L51" s="11" t="n"/>
    </row>
    <row r="52">
      <c r="A52" s="10" t="inlineStr">
        <is>
          <t>Parcours rôle</t>
        </is>
      </c>
      <c r="B52" s="10" t="inlineStr">
        <is>
          <t>R02-05</t>
        </is>
      </c>
      <c r="C52" s="10" t="inlineStr">
        <is>
          <t>R02 Client — utilisateur société</t>
        </is>
      </c>
      <c r="D52" s="10" t="inlineStr">
        <is>
          <t>Répondre à un complément</t>
        </is>
      </c>
      <c r="E52" s="10" t="inlineStr"/>
      <c r="F52" s="10" t="inlineStr">
        <is>
          <t>Ticket « En attente client » : lire le bandeau « Action requise » ; ajouter un message et une pièce ; cliquer « Marquer complément fourni »</t>
        </is>
      </c>
      <c r="G52" s="10" t="inlineStr">
        <is>
          <t>Le bandeau affiche « Demande de l'agent : … » (le motif saisi par l'agent) ; un seul bouton de reprise côté client ; le ticket revient chez l'agent</t>
        </is>
      </c>
      <c r="H52" s="11" t="n"/>
      <c r="I52" s="12" t="n"/>
      <c r="J52" s="11" t="n"/>
      <c r="K52" s="11" t="n"/>
      <c r="L52" s="11" t="n"/>
    </row>
    <row r="53">
      <c r="A53" s="10" t="inlineStr">
        <is>
          <t>Parcours rôle</t>
        </is>
      </c>
      <c r="B53" s="10" t="inlineStr">
        <is>
          <t>R02-06</t>
        </is>
      </c>
      <c r="C53" s="10" t="inlineStr">
        <is>
          <t>R02 Client — utilisateur société</t>
        </is>
      </c>
      <c r="D53" s="10" t="inlineStr">
        <is>
          <t>Consulter une pièce</t>
        </is>
      </c>
      <c r="E53" s="10" t="inlineStr"/>
      <c r="F53" s="10" t="inlineStr">
        <is>
          <t>/tickets/{id}/documents : Ouvrir puis Télécharger</t>
        </is>
      </c>
      <c r="G53" s="10" t="inlineStr">
        <is>
          <t>Aperçu et téléchargement OK ; pièce d'une autre société inaccessible</t>
        </is>
      </c>
      <c r="H53" s="11" t="n"/>
      <c r="I53" s="12" t="n"/>
      <c r="J53" s="11" t="n"/>
      <c r="K53" s="11" t="n"/>
      <c r="L53" s="11" t="n"/>
    </row>
    <row r="54">
      <c r="A54" s="10" t="inlineStr">
        <is>
          <t>Parcours rôle</t>
        </is>
      </c>
      <c r="B54" s="10" t="inlineStr">
        <is>
          <t>R02-07</t>
        </is>
      </c>
      <c r="C54" s="10" t="inlineStr">
        <is>
          <t>R02 Client — utilisateur société</t>
        </is>
      </c>
      <c r="D54" s="10" t="inlineStr">
        <is>
          <t>Exporter ses demandes</t>
        </is>
      </c>
      <c r="E54" s="10" t="inlineStr"/>
      <c r="F54" s="10" t="inlineStr">
        <is>
          <t>Boutons CSV et Excel</t>
        </is>
      </c>
      <c r="G54" s="10" t="inlineStr">
        <is>
          <t>Fichier conforme, limité à sa société</t>
        </is>
      </c>
      <c r="H54" s="11" t="n"/>
      <c r="I54" s="12" t="n"/>
      <c r="J54" s="11" t="n"/>
      <c r="K54" s="11" t="n"/>
      <c r="L54" s="11" t="n"/>
    </row>
    <row r="55">
      <c r="A55" s="10" t="inlineStr">
        <is>
          <t>Parcours rôle</t>
        </is>
      </c>
      <c r="B55" s="10" t="inlineStr">
        <is>
          <t>R02-08</t>
        </is>
      </c>
      <c r="C55" s="10" t="inlineStr">
        <is>
          <t>R02 Client — utilisateur société</t>
        </is>
      </c>
      <c r="D55" s="10" t="inlineStr">
        <is>
          <t>Simulation proforma</t>
        </is>
      </c>
      <c r="E55" s="10" t="inlineStr"/>
      <c r="F55" s="10" t="inlineStr">
        <is>
          <t>/simulation/proforma : saisir des conteneurs, calculer ; historique ; ouvrir le PDF en aperçu</t>
        </is>
      </c>
      <c r="G55" s="10" t="inlineStr">
        <is>
          <t>Montants conformes à la grille active ; mention légale ; PDF lisible</t>
        </is>
      </c>
      <c r="H55" s="11" t="n"/>
      <c r="I55" s="12" t="n"/>
      <c r="J55" s="11" t="n"/>
      <c r="K55" s="11" t="n"/>
      <c r="L55" s="11" t="n"/>
    </row>
    <row r="56">
      <c r="A56" s="10" t="inlineStr">
        <is>
          <t>Parcours rôle</t>
        </is>
      </c>
      <c r="B56" s="10" t="inlineStr">
        <is>
          <t>R02-09</t>
        </is>
      </c>
      <c r="C56" s="10" t="inlineStr">
        <is>
          <t>R02 Client — utilisateur société</t>
        </is>
      </c>
      <c r="D56" s="10" t="inlineStr">
        <is>
          <t>Réclamation</t>
        </is>
      </c>
      <c r="E56" s="10" t="inlineStr"/>
      <c r="F56" s="10" t="inlineStr">
        <is>
          <t>/reclamations/mes-reclamations : créer une réclamation avec catégorie et pièce</t>
        </is>
      </c>
      <c r="G56" s="10" t="inlineStr">
        <is>
          <t>Réclamation enregistrée et suivie</t>
        </is>
      </c>
      <c r="H56" s="11" t="n"/>
      <c r="I56" s="12" t="n"/>
      <c r="J56" s="11" t="n"/>
      <c r="K56" s="11" t="n"/>
      <c r="L56" s="11" t="n"/>
    </row>
    <row r="57">
      <c r="A57" s="10" t="inlineStr">
        <is>
          <t>Parcours rôle</t>
        </is>
      </c>
      <c r="B57" s="10" t="inlineStr">
        <is>
          <t>R02-10</t>
        </is>
      </c>
      <c r="C57" s="10" t="inlineStr">
        <is>
          <t>R02 Client — utilisateur société</t>
        </is>
      </c>
      <c r="D57" s="10" t="inlineStr">
        <is>
          <t>Avoir / Exonération</t>
        </is>
      </c>
      <c r="E57" s="10" t="inlineStr"/>
      <c r="F57" s="10" t="inlineStr">
        <is>
          <t>/avoir-exoneration/mes-demandes : déposer une demande d'avoir</t>
        </is>
      </c>
      <c r="G57" s="10" t="inlineStr">
        <is>
          <t>Demande suivie jusqu'à la décision</t>
        </is>
      </c>
      <c r="H57" s="11" t="n"/>
      <c r="I57" s="12" t="n"/>
      <c r="J57" s="11" t="n"/>
      <c r="K57" s="11" t="n"/>
      <c r="L57" s="11" t="n"/>
    </row>
    <row r="58">
      <c r="A58" s="10" t="inlineStr">
        <is>
          <t>Parcours rôle</t>
        </is>
      </c>
      <c r="B58" s="10" t="inlineStr">
        <is>
          <t>R02-11</t>
        </is>
      </c>
      <c r="C58" s="10" t="inlineStr">
        <is>
          <t>R02 Client — utilisateur société</t>
        </is>
      </c>
      <c r="D58" s="10" t="inlineStr">
        <is>
          <t>Rendez-vous guichet</t>
        </is>
      </c>
      <c r="E58" s="10" t="inlineStr"/>
      <c r="F58" s="10" t="inlineStr">
        <is>
          <t>/rendez-vous/mes-rendez-vous : réserver, reporter, annuler</t>
        </is>
      </c>
      <c r="G58" s="10" t="inlineStr">
        <is>
          <t>Créneau réservé ; report et annulation tracés</t>
        </is>
      </c>
      <c r="H58" s="11" t="n"/>
      <c r="I58" s="12" t="n"/>
      <c r="J58" s="11" t="n"/>
      <c r="K58" s="11" t="n"/>
      <c r="L58" s="11" t="n"/>
    </row>
    <row r="59">
      <c r="A59" s="10" t="inlineStr">
        <is>
          <t>Parcours rôle</t>
        </is>
      </c>
      <c r="B59" s="10" t="inlineStr">
        <is>
          <t>R02-12</t>
        </is>
      </c>
      <c r="C59" s="10" t="inlineStr">
        <is>
          <t>R02 Client — utilisateur société</t>
        </is>
      </c>
      <c r="D59" s="10" t="inlineStr">
        <is>
          <t>Signaler un incident technique</t>
        </is>
      </c>
      <c r="E59" s="10" t="inlineStr"/>
      <c r="F59" s="10" t="inlineStr">
        <is>
          <t>/support/incidents/signaler puis /support/incidents/mes-incidents</t>
        </is>
      </c>
      <c r="G59" s="10" t="inlineStr">
        <is>
          <t>Incident créé dans la file Support N1</t>
        </is>
      </c>
      <c r="H59" s="11" t="n"/>
      <c r="I59" s="12" t="n"/>
      <c r="J59" s="11" t="n"/>
      <c r="K59" s="11" t="n"/>
      <c r="L59" s="11" t="n"/>
    </row>
    <row r="60">
      <c r="A60" s="10" t="inlineStr">
        <is>
          <t>Parcours rôle</t>
        </is>
      </c>
      <c r="B60" s="10" t="inlineStr">
        <is>
          <t>R02-13</t>
        </is>
      </c>
      <c r="C60" s="10" t="inlineStr">
        <is>
          <t>R02 Client — utilisateur société</t>
        </is>
      </c>
      <c r="D60" s="10" t="inlineStr">
        <is>
          <t>Mes données</t>
        </is>
      </c>
      <c r="E60" s="10" t="inlineStr"/>
      <c r="F60" s="10" t="inlineStr">
        <is>
          <t>/comptes/mon-profil et /comptes/mes-donnees</t>
        </is>
      </c>
      <c r="G60" s="10" t="inlineStr">
        <is>
          <t>Données personnelles consultables ; modification tracée</t>
        </is>
      </c>
      <c r="H60" s="11" t="n"/>
      <c r="I60" s="12" t="n"/>
      <c r="J60" s="11" t="n"/>
      <c r="K60" s="11" t="n"/>
      <c r="L60" s="11" t="n"/>
    </row>
    <row r="61">
      <c r="A61" s="10" t="inlineStr">
        <is>
          <t>Parcours rôle</t>
        </is>
      </c>
      <c r="B61" s="10" t="inlineStr">
        <is>
          <t>R02-14</t>
        </is>
      </c>
      <c r="C61" s="10" t="inlineStr">
        <is>
          <t>R02 Client — utilisateur société</t>
        </is>
      </c>
      <c r="D61" s="10" t="inlineStr">
        <is>
          <t>Demander la facture</t>
        </is>
      </c>
      <c r="E61" s="10" t="inlineStr"/>
      <c r="F61" s="10" t="inlineStr">
        <is>
          <t>Dossier Import en étape Facturation : « Demander la facture »</t>
        </is>
      </c>
      <c r="G61" s="10" t="inlineStr">
        <is>
          <t>Demande tracée, visible par le Pilote Facturation</t>
        </is>
      </c>
      <c r="H61" s="11" t="n"/>
      <c r="I61" s="12" t="n"/>
      <c r="J61" s="11" t="n"/>
      <c r="K61" s="11" t="n"/>
      <c r="L61" s="11" t="n"/>
    </row>
    <row r="62">
      <c r="A62" s="10" t="inlineStr">
        <is>
          <t>Parcours rôle</t>
        </is>
      </c>
      <c r="B62" s="10" t="inlineStr">
        <is>
          <t>R02-15</t>
        </is>
      </c>
      <c r="C62" s="10" t="inlineStr">
        <is>
          <t>R02 Client — utilisateur société</t>
        </is>
      </c>
      <c r="D62" s="10" t="inlineStr">
        <is>
          <t>Déposer la preuve de paiement</t>
        </is>
      </c>
      <c r="E62" s="10" t="inlineStr"/>
      <c r="F62" s="10" t="inlineStr">
        <is>
          <t>Client de type Normal, facture émise : déposer la preuve de paiement dans le dossier</t>
        </is>
      </c>
      <c r="G62" s="10" t="inlineStr">
        <is>
          <t>Preuve jointe ; dossier à l'étape Validation du paiement</t>
        </is>
      </c>
      <c r="H62" s="11" t="n"/>
      <c r="I62" s="12" t="n"/>
      <c r="J62" s="11" t="n"/>
      <c r="K62" s="11" t="n"/>
      <c r="L62" s="11" t="n"/>
    </row>
    <row r="63">
      <c r="A63" s="10" t="inlineStr">
        <is>
          <t>Parcours rôle</t>
        </is>
      </c>
      <c r="B63" s="10" t="inlineStr">
        <is>
          <t>R02-16</t>
        </is>
      </c>
      <c r="C63" s="10" t="inlineStr">
        <is>
          <t>R02 Client — utilisateur société</t>
        </is>
      </c>
      <c r="D63" s="10" t="inlineStr">
        <is>
          <t>Notifications lisibles</t>
        </is>
      </c>
      <c r="E63" s="10" t="inlineStr"/>
      <c r="F63" s="10" t="inlineStr">
        <is>
          <t>Cloche puis /notifications : lire les libellés ; changer de page ; cliquer « Tout marquer comme lu »</t>
        </is>
      </c>
      <c r="G63" s="10" t="inlineStr">
        <is>
          <t>Types en clair (« Relance envoyée », « Dossier créé »), jamais de code ni d'adresse /tickets/… dans le message ; 10 notifications par page ; compteur à zéro après « Tout marquer comme lu »</t>
        </is>
      </c>
      <c r="H63" s="11" t="n"/>
      <c r="I63" s="12" t="n"/>
      <c r="J63" s="11" t="n"/>
      <c r="K63" s="11" t="n"/>
      <c r="L63" s="11" t="n"/>
    </row>
    <row r="64">
      <c r="A64" s="10" t="inlineStr">
        <is>
          <t>Parcours rôle</t>
        </is>
      </c>
      <c r="B64" s="10" t="inlineStr">
        <is>
          <t>R02-17</t>
        </is>
      </c>
      <c r="C64" s="10" t="inlineStr">
        <is>
          <t>R02 Client — utilisateur société</t>
        </is>
      </c>
      <c r="D64" s="10" t="inlineStr">
        <is>
          <t>Formulaire d'avoir : ce qui manque</t>
        </is>
      </c>
      <c r="E64" s="10" t="inlineStr"/>
      <c r="F64" s="10" t="inlineStr">
        <is>
          <t>/avoir-exoneration/soumettre : laisser l'objet, l'exposé et les pièces vides, puis les remplir un à un</t>
        </is>
      </c>
      <c r="G64" s="10" t="inlineStr">
        <is>
          <t>Sous le bouton grisé : « Pour soumettre, complétez : … » ; la liste se réduit à chaque saisie ; bouton actif quand tout est rempli</t>
        </is>
      </c>
      <c r="H64" s="11" t="n"/>
      <c r="I64" s="12" t="n"/>
      <c r="J64" s="11" t="n"/>
      <c r="K64" s="11" t="n"/>
      <c r="L64" s="11" t="n"/>
    </row>
    <row r="65">
      <c r="A65" s="10" t="inlineStr">
        <is>
          <t>Parcours rôle</t>
        </is>
      </c>
      <c r="B65" s="10" t="inlineStr">
        <is>
          <t>R02-18</t>
        </is>
      </c>
      <c r="C65" s="10" t="inlineStr">
        <is>
          <t>R02 Client — utilisateur société</t>
        </is>
      </c>
      <c r="D65" s="10" t="inlineStr">
        <is>
          <t>Pas d'enrôlement de flotte</t>
        </is>
      </c>
      <c r="E65" s="10" t="inlineStr"/>
      <c r="F65" s="10" t="inlineStr">
        <is>
          <t>Compte d'une société cliente « Normal » : parcourir le menu ; ouvrir /enrolement/societe/soumettre par l'URL</t>
        </is>
      </c>
      <c r="G65" s="10" t="inlineStr">
        <is>
          <t>Ni « Enrôler ma flotte » ni « Retrait d'accès flotte » au menu ; la page affiche « L'enrôlement de flotte est réservé aux entreprises de transport »</t>
        </is>
      </c>
      <c r="H65" s="11" t="n"/>
      <c r="I65" s="12" t="n"/>
      <c r="J65" s="11" t="n"/>
      <c r="K65" s="11" t="n"/>
      <c r="L65" s="11" t="n"/>
    </row>
    <row r="66">
      <c r="A66" s="10" t="inlineStr">
        <is>
          <t>Parcours rôle</t>
        </is>
      </c>
      <c r="B66" s="10" t="inlineStr">
        <is>
          <t>R02-19</t>
        </is>
      </c>
      <c r="C66" s="10" t="inlineStr">
        <is>
          <t>R02 Client — utilisateur société</t>
        </is>
      </c>
      <c r="D66" s="10" t="inlineStr">
        <is>
          <t>Relances espacées</t>
        </is>
      </c>
      <c r="E66" s="10" t="inlineStr"/>
      <c r="F66" s="10" t="inlineStr">
        <is>
          <t>Laisser un ticket « En attente client » sans réponse plusieurs jours</t>
        </is>
      </c>
      <c r="G66" s="10" t="inlineStr">
        <is>
          <t>Au plus une relance tous les 2 jours (3 au maximum), puis une suggestion de clôture à l'agent — jamais de rafale de rappels</t>
        </is>
      </c>
      <c r="H66" s="11" t="n"/>
      <c r="I66" s="12" t="n"/>
      <c r="J66" s="11" t="n"/>
      <c r="K66" s="11" t="n"/>
      <c r="L66" s="11" t="n"/>
    </row>
    <row r="67">
      <c r="A67" s="10" t="inlineStr">
        <is>
          <t>Parcours rôle</t>
        </is>
      </c>
      <c r="B67" s="10" t="inlineStr">
        <is>
          <t>R02-20</t>
        </is>
      </c>
      <c r="C67" s="10" t="inlineStr">
        <is>
          <t>R02 Client — utilisateur société</t>
        </is>
      </c>
      <c r="D67" s="10" t="inlineStr">
        <is>
          <t>Utiliser YABA en anglais</t>
        </is>
      </c>
      <c r="E67" s="10" t="inlineStr"/>
      <c r="F67" s="10" t="inlineStr">
        <is>
          <t>Choisir « English » dans le sélecteur de langue ; parcourir tableau de bord, demandes, notifications ; provoquer une erreur (ex. soumettre un formulaire incomplet)</t>
        </is>
      </c>
      <c r="G67" s="10" t="inlineStr">
        <is>
          <t>Tous les écrans, boutons, statuts et noms de files en anglais ; les messages d'erreur aussi (« The … is required ») ; seules les données saisies (objets, catégories du référentiel) restent dans la langue où elles ont été écrites</t>
        </is>
      </c>
      <c r="H67" s="11" t="n"/>
      <c r="I67" s="12" t="n"/>
      <c r="J67" s="11" t="n"/>
      <c r="K67" s="11" t="n"/>
      <c r="L67" s="11" t="n"/>
    </row>
    <row r="68">
      <c r="A68" s="10" t="inlineStr">
        <is>
          <t>Parcours rôle</t>
        </is>
      </c>
      <c r="B68" s="10" t="inlineStr">
        <is>
          <t>R02-21</t>
        </is>
      </c>
      <c r="C68" s="10" t="inlineStr">
        <is>
          <t>R02 Client — utilisateur société</t>
        </is>
      </c>
      <c r="D68" s="10" t="inlineStr">
        <is>
          <t>Recevoir mes e-mails dans ma langue</t>
        </is>
      </c>
      <c r="E68" s="10" t="inlineStr"/>
      <c r="F68" s="10" t="inlineStr">
        <is>
          <t>Passer l'interface en anglais ; déclencher un événement notifié (ex. complément demandé par un agent) ; ouvrir l'e-mail et la notification</t>
        </is>
      </c>
      <c r="G68" s="10" t="inlineStr">
        <is>
          <t>Notification et e-mail en anglais : titre, texte, bouton « Open the ticket », pied de page ; un compte resté en français reçoit les siens en français</t>
        </is>
      </c>
      <c r="H68" s="11" t="n"/>
      <c r="I68" s="12" t="n"/>
      <c r="J68" s="11" t="n"/>
      <c r="K68" s="11" t="n"/>
      <c r="L68" s="11" t="n"/>
    </row>
    <row r="69">
      <c r="A69" s="10" t="inlineStr">
        <is>
          <t>Parcours rôle</t>
        </is>
      </c>
      <c r="B69" s="10" t="inlineStr">
        <is>
          <t>R02-22</t>
        </is>
      </c>
      <c r="C69" s="10" t="inlineStr">
        <is>
          <t>R02 Client — utilisateur société</t>
        </is>
      </c>
      <c r="D69" s="10" t="inlineStr">
        <is>
          <t>Proforma en anglais</t>
        </is>
      </c>
      <c r="E69" s="10" t="inlineStr"/>
      <c r="F69" s="10" t="inlineStr">
        <is>
          <t>Interface en anglais : /simulation/proforma ; calculer ; télécharger le PDF</t>
        </is>
      </c>
      <c r="G69" s="10" t="inlineStr">
        <is>
          <t>Aperçu et PDF en anglais (« PROFORMA INVOICE », « Total Amount Payable »), montant en lettres en anglais (« … CFA francs ») ; mêmes montants qu'en français</t>
        </is>
      </c>
      <c r="H69" s="11" t="n"/>
      <c r="I69" s="12" t="n"/>
      <c r="J69" s="11" t="n"/>
      <c r="K69" s="11" t="n"/>
      <c r="L69" s="11" t="n"/>
    </row>
    <row r="70">
      <c r="A70" s="10" t="inlineStr">
        <is>
          <t>Parcours rôle</t>
        </is>
      </c>
      <c r="B70" s="10" t="inlineStr">
        <is>
          <t>R02-23</t>
        </is>
      </c>
      <c r="C70" s="10" t="inlineStr">
        <is>
          <t>R02 Client — utilisateur société</t>
        </is>
      </c>
      <c r="D70" s="10" t="inlineStr">
        <is>
          <t>Menu et accès interdit</t>
        </is>
      </c>
      <c r="E70" s="10" t="inlineStr"/>
      <c r="F70" s="10" t="inlineStr">
        <is>
          <t>Vérifier le menu ; saisir l'URL d'un écran d'un autre profil</t>
        </is>
      </c>
      <c r="G70" s="10" t="inlineStr">
        <is>
          <t>Menu limité au profil ; écran étranger refusé</t>
        </is>
      </c>
      <c r="H70" s="11" t="n"/>
      <c r="I70" s="12" t="n"/>
      <c r="J70" s="11" t="n"/>
      <c r="K70" s="11" t="n"/>
      <c r="L70" s="11" t="n"/>
    </row>
    <row r="71">
      <c r="A71" s="10" t="inlineStr">
        <is>
          <t>Parcours rôle</t>
        </is>
      </c>
      <c r="B71" s="10" t="inlineStr">
        <is>
          <t>R03-01</t>
        </is>
      </c>
      <c r="C71" s="10" t="inlineStr">
        <is>
          <t>R03 Administrateur société</t>
        </is>
      </c>
      <c r="D71" s="10" t="inlineStr">
        <is>
          <t>Tableau de bord société</t>
        </is>
      </c>
      <c r="E71" s="10" t="inlineStr"/>
      <c r="F71" s="10" t="inlineStr">
        <is>
          <t>/societe/dashboard</t>
        </is>
      </c>
      <c r="G71" s="10" t="inlineStr">
        <is>
          <t>Vue consolidée des demandes de la société</t>
        </is>
      </c>
      <c r="H71" s="11" t="n"/>
      <c r="I71" s="12" t="n"/>
      <c r="J71" s="11" t="n"/>
      <c r="K71" s="11" t="n"/>
      <c r="L71" s="11" t="n"/>
    </row>
    <row r="72">
      <c r="A72" s="10" t="inlineStr">
        <is>
          <t>Parcours rôle</t>
        </is>
      </c>
      <c r="B72" s="10" t="inlineStr">
        <is>
          <t>R03-02</t>
        </is>
      </c>
      <c r="C72" s="10" t="inlineStr">
        <is>
          <t>R03 Administrateur société</t>
        </is>
      </c>
      <c r="D72" s="10" t="inlineStr">
        <is>
          <t>Inviter un collaborateur</t>
        </is>
      </c>
      <c r="E72" s="10" t="inlineStr"/>
      <c r="F72" s="10" t="inlineStr">
        <is>
          <t>/societe/collaborateurs : inviter par e-mail</t>
        </is>
      </c>
      <c r="G72" s="10" t="inlineStr">
        <is>
          <t>E-mail d'invitation reçu ; collaborateur en attente</t>
        </is>
      </c>
      <c r="H72" s="11" t="n"/>
      <c r="I72" s="12" t="n"/>
      <c r="J72" s="11" t="n"/>
      <c r="K72" s="11" t="n"/>
      <c r="L72" s="11" t="n"/>
    </row>
    <row r="73">
      <c r="A73" s="10" t="inlineStr">
        <is>
          <t>Parcours rôle</t>
        </is>
      </c>
      <c r="B73" s="10" t="inlineStr">
        <is>
          <t>R03-03</t>
        </is>
      </c>
      <c r="C73" s="10" t="inlineStr">
        <is>
          <t>R03 Administrateur société</t>
        </is>
      </c>
      <c r="D73" s="10" t="inlineStr">
        <is>
          <t>Désactiver un collaborateur</t>
        </is>
      </c>
      <c r="E73" s="10" t="inlineStr"/>
      <c r="F73" s="10" t="inlineStr">
        <is>
          <t>Désactiver, puis tenter une connexion avec ce compte</t>
        </is>
      </c>
      <c r="G73" s="10" t="inlineStr">
        <is>
          <t>Connexion refusée ; historique conservé</t>
        </is>
      </c>
      <c r="H73" s="11" t="n"/>
      <c r="I73" s="12" t="n"/>
      <c r="J73" s="11" t="n"/>
      <c r="K73" s="11" t="n"/>
      <c r="L73" s="11" t="n"/>
    </row>
    <row r="74">
      <c r="A74" s="10" t="inlineStr">
        <is>
          <t>Parcours rôle</t>
        </is>
      </c>
      <c r="B74" s="10" t="inlineStr">
        <is>
          <t>R03-04</t>
        </is>
      </c>
      <c r="C74" s="10" t="inlineStr">
        <is>
          <t>R03 Administrateur société</t>
        </is>
      </c>
      <c r="D74" s="10" t="inlineStr">
        <is>
          <t>Profil société</t>
        </is>
      </c>
      <c r="E74" s="10" t="inlineStr"/>
      <c r="F74" s="10" t="inlineStr">
        <is>
          <t>/comptes/profil</t>
        </is>
      </c>
      <c r="G74" s="10" t="inlineStr">
        <is>
          <t>Informations affichées, date de création avec l'heure</t>
        </is>
      </c>
      <c r="H74" s="11" t="n"/>
      <c r="I74" s="12" t="n"/>
      <c r="J74" s="11" t="n"/>
      <c r="K74" s="11" t="n"/>
      <c r="L74" s="11" t="n"/>
    </row>
    <row r="75">
      <c r="A75" s="10" t="inlineStr">
        <is>
          <t>Parcours rôle</t>
        </is>
      </c>
      <c r="B75" s="10" t="inlineStr">
        <is>
          <t>R03-05</t>
        </is>
      </c>
      <c r="C75" s="10" t="inlineStr">
        <is>
          <t>R03 Administrateur société</t>
        </is>
      </c>
      <c r="D75" s="10" t="inlineStr">
        <is>
          <t>Rattacher un collaborateur par e-mail</t>
        </is>
      </c>
      <c r="E75" s="10" t="inlineStr"/>
      <c r="F75" s="10" t="inlineStr">
        <is>
          <t>/comptes/collaborateurs : saisir l'adresse e-mail d'un compte déjà inscrit ; « Rattacher à l'entreprise »</t>
        </is>
      </c>
      <c r="G75" s="10" t="inlineStr">
        <is>
          <t>Collaborateur rattaché ; une saisie qui n'est pas une adresse e-mail est refusée avec un message clair</t>
        </is>
      </c>
      <c r="H75" s="11" t="n"/>
      <c r="I75" s="12" t="n"/>
      <c r="J75" s="11" t="n"/>
      <c r="K75" s="11" t="n"/>
      <c r="L75" s="11" t="n"/>
    </row>
    <row r="76">
      <c r="A76" s="10" t="inlineStr">
        <is>
          <t>Parcours rôle</t>
        </is>
      </c>
      <c r="B76" s="10" t="inlineStr">
        <is>
          <t>R03-06</t>
        </is>
      </c>
      <c r="C76" s="10" t="inlineStr">
        <is>
          <t>R03 Administrateur société</t>
        </is>
      </c>
      <c r="D76" s="10" t="inlineStr">
        <is>
          <t>Pas d'auto-rétrogradation</t>
        </is>
      </c>
      <c r="E76" s="10" t="inlineStr"/>
      <c r="F76" s="10" t="inlineStr">
        <is>
          <t>Sur sa propre ligne (mention « (vous) »), chercher « Rétrograder » et « Désactiver »</t>
        </is>
      </c>
      <c r="G76" s="10" t="inlineStr">
        <is>
          <t>Ces deux actions sont absentes sur sa propre ligne ; elles restent disponibles pour les autres collaborateurs</t>
        </is>
      </c>
      <c r="H76" s="11" t="n"/>
      <c r="I76" s="12" t="n"/>
      <c r="J76" s="11" t="n"/>
      <c r="K76" s="11" t="n"/>
      <c r="L76" s="11" t="n"/>
    </row>
    <row r="77">
      <c r="A77" s="10" t="inlineStr">
        <is>
          <t>Parcours rôle</t>
        </is>
      </c>
      <c r="B77" s="10" t="inlineStr">
        <is>
          <t>R03-07</t>
        </is>
      </c>
      <c r="C77" s="10" t="inlineStr">
        <is>
          <t>R03 Administrateur société</t>
        </is>
      </c>
      <c r="D77" s="10" t="inlineStr">
        <is>
          <t>Menu et accès interdit</t>
        </is>
      </c>
      <c r="E77" s="10" t="inlineStr"/>
      <c r="F77" s="10" t="inlineStr">
        <is>
          <t>Vérifier le menu ; saisir l'URL d'un écran d'un autre profil</t>
        </is>
      </c>
      <c r="G77" s="10" t="inlineStr">
        <is>
          <t>Menu limité au profil ; écran étranger refusé</t>
        </is>
      </c>
      <c r="H77" s="11" t="n"/>
      <c r="I77" s="12" t="n"/>
      <c r="J77" s="11" t="n"/>
      <c r="K77" s="11" t="n"/>
      <c r="L77" s="11" t="n"/>
    </row>
    <row r="78">
      <c r="A78" s="10" t="inlineStr">
        <is>
          <t>Parcours rôle</t>
        </is>
      </c>
      <c r="B78" s="10" t="inlineStr">
        <is>
          <t>R04-01</t>
        </is>
      </c>
      <c r="C78" s="10" t="inlineStr">
        <is>
          <t>R04 Transporteur</t>
        </is>
      </c>
      <c r="D78" s="10" t="inlineStr">
        <is>
          <t>Menu d'une entreprise de transport</t>
        </is>
      </c>
      <c r="E78" s="10" t="inlineStr"/>
      <c r="F78" s="10" t="inlineStr">
        <is>
          <t>Se connecter avec le compte d'une entreprise de type Transporteur validée ; parcourir le menu ; ouvrir /billing-import/soumettre par l'URL et tenter d'envoyer</t>
        </is>
      </c>
      <c r="G78" s="10" t="inlineStr">
        <is>
          <t>Menu avec « Enrôler ma flotte » et « Retrait d'accès flotte » ; SANS Import, Export, Avoir, Proforma ni Rendez-vous ; l'envoi forcé d'une demande Import est refusé</t>
        </is>
      </c>
      <c r="H78" s="11" t="n"/>
      <c r="I78" s="12" t="n"/>
      <c r="J78" s="11" t="n"/>
      <c r="K78" s="11" t="n"/>
      <c r="L78" s="11" t="n"/>
    </row>
    <row r="79">
      <c r="A79" s="10" t="inlineStr">
        <is>
          <t>Parcours rôle</t>
        </is>
      </c>
      <c r="B79" s="10" t="inlineStr">
        <is>
          <t>R04-02</t>
        </is>
      </c>
      <c r="C79" s="10" t="inlineStr">
        <is>
          <t>R04 Transporteur</t>
        </is>
      </c>
      <c r="D79" s="10" t="inlineStr">
        <is>
          <t>Enrôler la flotte avec dates et pièces</t>
        </is>
      </c>
      <c r="E79" s="10" t="inlineStr"/>
      <c r="F79" s="10" t="inlineStr">
        <is>
          <t>/enrolement/societe/soumettre : un chauffeur (date du permis + photos permis recto, verso, pièce d'identité recto) et un camion (dates assurance et visite + carte grise recto, verso, attestation d'assurance) ; essayer d'envoyer avant de tout joindre</t>
        </is>
      </c>
      <c r="G79" s="10" t="inlineStr">
        <is>
          <t>Bouton d'envoi grisé tant qu'une date ou une pièce obligatoire manque (la pièce d'identité verso est facultative) ; puis un ticket par objet, pièces nommées « Permis de conduire (recto) — fichier » et analysées « Sain »</t>
        </is>
      </c>
      <c r="H79" s="11" t="n"/>
      <c r="I79" s="12" t="n"/>
      <c r="J79" s="11" t="n"/>
      <c r="K79" s="11" t="n"/>
      <c r="L79" s="11" t="n"/>
    </row>
    <row r="80">
      <c r="A80" s="10" t="inlineStr">
        <is>
          <t>Parcours rôle</t>
        </is>
      </c>
      <c r="B80" s="10" t="inlineStr">
        <is>
          <t>R04-03</t>
        </is>
      </c>
      <c r="C80" s="10" t="inlineStr">
        <is>
          <t>R04 Transporteur</t>
        </is>
      </c>
      <c r="D80" s="10" t="inlineStr">
        <is>
          <t>Document déjà expiré</t>
        </is>
      </c>
      <c r="E80" s="10" t="inlineStr"/>
      <c r="F80" s="10" t="inlineStr">
        <is>
          <t>Saisir une date d'expiration passée pour un permis, puis envoyer</t>
        </is>
      </c>
      <c r="G80" s="10" t="inlineStr">
        <is>
          <t>Refus avec un message qui nomme le document ; aucun ticket créé</t>
        </is>
      </c>
      <c r="H80" s="11" t="n"/>
      <c r="I80" s="12" t="n"/>
      <c r="J80" s="11" t="n"/>
      <c r="K80" s="11" t="n"/>
      <c r="L80" s="11" t="n"/>
    </row>
    <row r="81">
      <c r="A81" s="10" t="inlineStr">
        <is>
          <t>Parcours rôle</t>
        </is>
      </c>
      <c r="B81" s="10" t="inlineStr">
        <is>
          <t>R04-04</t>
        </is>
      </c>
      <c r="C81" s="10" t="inlineStr">
        <is>
          <t>R04 Transporteur</t>
        </is>
      </c>
      <c r="D81" s="10" t="inlineStr">
        <is>
          <t>Suivi</t>
        </is>
      </c>
      <c r="E81" s="10" t="inlineStr"/>
      <c r="F81" s="10" t="inlineStr">
        <is>
          <t>/enrolement/mes-enrolements ; fiche de l'enrôlement</t>
        </is>
      </c>
      <c r="G81" s="10" t="inlineStr">
        <is>
          <t>Statuts successifs horodatés ; convocation visible ; à la remise, numéro et date d'expiration du badge dans l'historique</t>
        </is>
      </c>
      <c r="H81" s="11" t="n"/>
      <c r="I81" s="12" t="n"/>
      <c r="J81" s="11" t="n"/>
      <c r="K81" s="11" t="n"/>
      <c r="L81" s="11" t="n"/>
    </row>
    <row r="82">
      <c r="A82" s="10" t="inlineStr">
        <is>
          <t>Parcours rôle</t>
        </is>
      </c>
      <c r="B82" s="10" t="inlineStr">
        <is>
          <t>R04-05</t>
        </is>
      </c>
      <c r="C82" s="10" t="inlineStr">
        <is>
          <t>R04 Transporteur</t>
        </is>
      </c>
      <c r="D82" s="10" t="inlineStr">
        <is>
          <t>Retrait</t>
        </is>
      </c>
      <c r="E82" s="10" t="inlineStr"/>
      <c r="F82" s="10" t="inlineStr">
        <is>
          <t>/enrolement/societe/retrait : choisir le type, puis le chauffeur ou camion dans la liste ; saisir un motif</t>
        </is>
      </c>
      <c r="G82" s="10" t="inlineStr">
        <is>
          <t>La liste ne propose que la flotte en service (badge remis, pas déjà retirée) ; « Autre (saisie libre)… » reste possible ; demande de retrait enregistrée</t>
        </is>
      </c>
      <c r="H82" s="11" t="n"/>
      <c r="I82" s="12" t="n"/>
      <c r="J82" s="11" t="n"/>
      <c r="K82" s="11" t="n"/>
      <c r="L82" s="11" t="n"/>
    </row>
    <row r="83">
      <c r="A83" s="10" t="inlineStr">
        <is>
          <t>Parcours rôle</t>
        </is>
      </c>
      <c r="B83" s="10" t="inlineStr">
        <is>
          <t>R04-06</t>
        </is>
      </c>
      <c r="C83" s="10" t="inlineStr">
        <is>
          <t>R04 Transporteur</t>
        </is>
      </c>
      <c r="D83" s="10" t="inlineStr">
        <is>
          <t>Rappels d'échéance</t>
        </is>
      </c>
      <c r="E83" s="10" t="inlineStr"/>
      <c r="F83" s="10" t="inlineStr">
        <is>
          <t>Équipe projet : déclarer un document expirant dans moins de 30 jours, attendre le passage du traitement automatique (12 h)</t>
        </is>
      </c>
      <c r="G83" s="10" t="inlineStr">
        <is>
          <t>Notification (cloche + e-mail) « Un document de votre flotte arrive à échéance » au représentant et à l'administrateur de l'entreprise ; un seul rappel par document</t>
        </is>
      </c>
      <c r="H83" s="11" t="n"/>
      <c r="I83" s="12" t="n"/>
      <c r="J83" s="11" t="n"/>
      <c r="K83" s="11" t="n"/>
      <c r="L83" s="11" t="n"/>
    </row>
    <row r="84">
      <c r="A84" s="10" t="inlineStr">
        <is>
          <t>Parcours rôle</t>
        </is>
      </c>
      <c r="B84" s="10" t="inlineStr">
        <is>
          <t>R04-07</t>
        </is>
      </c>
      <c r="C84" s="10" t="inlineStr">
        <is>
          <t>R04 Transporteur</t>
        </is>
      </c>
      <c r="D84" s="10" t="inlineStr">
        <is>
          <t>Ancien compte transporteur individuel</t>
        </is>
      </c>
      <c r="E84" s="10" t="inlineStr"/>
      <c r="F84" s="10" t="inlineStr">
        <is>
          <t>Se connecter avec un compte transporteur créé avant le 03/10/2026 (sans société)</t>
        </is>
      </c>
      <c r="G84" s="10" t="inlineStr">
        <is>
          <t>« Mes enrôlements » accessible ; bandeau « Nouveau circuit transporteurs » avec le bouton « Ouvrir le compte de mon entreprise »</t>
        </is>
      </c>
      <c r="H84" s="11" t="n"/>
      <c r="I84" s="12" t="n"/>
      <c r="J84" s="11" t="n"/>
      <c r="K84" s="11" t="n"/>
      <c r="L84" s="11" t="n"/>
    </row>
    <row r="85">
      <c r="A85" s="10" t="inlineStr">
        <is>
          <t>Parcours rôle</t>
        </is>
      </c>
      <c r="B85" s="10" t="inlineStr">
        <is>
          <t>R04-08</t>
        </is>
      </c>
      <c r="C85" s="10" t="inlineStr">
        <is>
          <t>R04 Transporteur</t>
        </is>
      </c>
      <c r="D85" s="10" t="inlineStr">
        <is>
          <t>Accès depuis l'Espace Entreprise</t>
        </is>
      </c>
      <c r="E85" s="10" t="inlineStr"/>
      <c r="F85" s="10" t="inlineStr">
        <is>
          <t>Se connecter : arrivée dans l'Espace Entreprise</t>
        </is>
      </c>
      <c r="G85" s="10" t="inlineStr">
        <is>
          <t>Menu « Dossiers de flotte », « Enrôler ma flotte », « Retrait d'accès flotte » ; bouton « 🚚 Enrôler ma flotte » sur le tableau de bord ; « Demandes de la société » propose « Enrôler ma flotte » (et non une demande Import)</t>
        </is>
      </c>
      <c r="H85" s="11" t="n"/>
      <c r="I85" s="12" t="n"/>
      <c r="J85" s="11" t="n"/>
      <c r="K85" s="11" t="n"/>
      <c r="L85" s="11" t="n"/>
    </row>
    <row r="86">
      <c r="A86" s="10" t="inlineStr">
        <is>
          <t>Parcours rôle</t>
        </is>
      </c>
      <c r="B86" s="10" t="inlineStr">
        <is>
          <t>R04-09</t>
        </is>
      </c>
      <c r="C86" s="10" t="inlineStr">
        <is>
          <t>R04 Transporteur</t>
        </is>
      </c>
      <c r="D86" s="10" t="inlineStr">
        <is>
          <t>Répondre à un complément avec pièces</t>
        </is>
      </c>
      <c r="E86" s="10" t="inlineStr"/>
      <c r="F86" s="10" t="inlineStr">
        <is>
          <t>Fiche d'un enrôlement « En attente client » : lire la demande de l'agent ; joindre deux fichiers et un message ; « Envoyer ma réponse »</t>
        </is>
      </c>
      <c r="G86" s="10" t="inlineStr">
        <is>
          <t>Encadré « Demande de l'agent : … » ; une seule zone de dépôt (PDF, JPG, PNG) ; « 2 documents déposés et analysés » ; le dossier repart chez l'Agent Gate</t>
        </is>
      </c>
      <c r="H86" s="11" t="n"/>
      <c r="I86" s="12" t="n"/>
      <c r="J86" s="11" t="n"/>
      <c r="K86" s="11" t="n"/>
      <c r="L86" s="11" t="n"/>
    </row>
    <row r="87">
      <c r="A87" s="10" t="inlineStr">
        <is>
          <t>Parcours rôle</t>
        </is>
      </c>
      <c r="B87" s="10" t="inlineStr">
        <is>
          <t>R04-10</t>
        </is>
      </c>
      <c r="C87" s="10" t="inlineStr">
        <is>
          <t>R04 Transporteur</t>
        </is>
      </c>
      <c r="D87" s="10" t="inlineStr">
        <is>
          <t>Formulaire officiel signé (ajout)</t>
        </is>
      </c>
      <c r="E87" s="10" t="inlineStr"/>
      <c r="F87" s="10" t="inlineStr">
        <is>
          <t>/enrolement/societe/soumettre : saisir chauffeurs/camions et pièces ; laisser vide « Agissant en qualité de » ; puis remplir signataire, qualité et siège ; soumettre</t>
        </is>
      </c>
      <c r="G87" s="10" t="inlineStr">
        <is>
          <t>Bouton « Soumettre » grisé tant que le signataire est incomplet ; après soumission : « Formulaire officiel CIT-CIV-CG-F-0002 Rev.01 joint au dossier » (F-0001 pour les camions) ; le PDF reprend le texte officiel, les blancs remplis, la liste, le NB et la mention de signature électronique</t>
        </is>
      </c>
      <c r="H87" s="11" t="n"/>
      <c r="I87" s="12" t="n"/>
      <c r="J87" s="11" t="n"/>
      <c r="K87" s="11" t="n"/>
      <c r="L87" s="11" t="n"/>
    </row>
    <row r="88">
      <c r="A88" s="10" t="inlineStr">
        <is>
          <t>Parcours rôle</t>
        </is>
      </c>
      <c r="B88" s="10" t="inlineStr">
        <is>
          <t>R04-11</t>
        </is>
      </c>
      <c r="C88" s="10" t="inlineStr">
        <is>
          <t>R04 Transporteur</t>
        </is>
      </c>
      <c r="D88" s="10" t="inlineStr">
        <is>
          <t>Formulaire officiel signé (retrait)</t>
        </is>
      </c>
      <c r="E88" s="10" t="inlineStr"/>
      <c r="F88" s="10" t="inlineStr">
        <is>
          <t>/enrolement/societe/retrait : choisir les éléments ; remplir le signataire ; soumettre</t>
        </is>
      </c>
      <c r="G88" s="10" t="inlineStr">
        <is>
          <t>Formulaire « DEMANDE DE RETRAIT DE CHAUFFEURS / CAMIONS » joint à chaque ticket de retrait</t>
        </is>
      </c>
      <c r="H88" s="11" t="n"/>
      <c r="I88" s="12" t="n"/>
      <c r="J88" s="11" t="n"/>
      <c r="K88" s="11" t="n"/>
      <c r="L88" s="11" t="n"/>
    </row>
    <row r="89">
      <c r="A89" s="10" t="inlineStr">
        <is>
          <t>Parcours rôle</t>
        </is>
      </c>
      <c r="B89" s="10" t="inlineStr">
        <is>
          <t>R04-12</t>
        </is>
      </c>
      <c r="C89" s="10" t="inlineStr">
        <is>
          <t>R04 Transporteur</t>
        </is>
      </c>
      <c r="D89" s="10" t="inlineStr">
        <is>
          <t>Menu et accès interdit</t>
        </is>
      </c>
      <c r="E89" s="10" t="inlineStr"/>
      <c r="F89" s="10" t="inlineStr">
        <is>
          <t>Vérifier le menu ; saisir l'URL d'un écran d'un autre profil</t>
        </is>
      </c>
      <c r="G89" s="10" t="inlineStr">
        <is>
          <t>Menu limité au profil ; écran étranger refusé</t>
        </is>
      </c>
      <c r="H89" s="11" t="n"/>
      <c r="I89" s="12" t="n"/>
      <c r="J89" s="11" t="n"/>
      <c r="K89" s="11" t="n"/>
      <c r="L89" s="11" t="n"/>
    </row>
    <row r="90">
      <c r="A90" s="10" t="inlineStr">
        <is>
          <t>Parcours rôle</t>
        </is>
      </c>
      <c r="B90" s="10" t="inlineStr">
        <is>
          <t>R05-01</t>
        </is>
      </c>
      <c r="C90" s="10" t="inlineStr">
        <is>
          <t>R05 Agent Pilote Manifeste (Import)</t>
        </is>
      </c>
      <c r="D90" s="10" t="inlineStr">
        <is>
          <t>File</t>
        </is>
      </c>
      <c r="E90" s="10" t="inlineStr"/>
      <c r="F90" s="10" t="inlineStr">
        <is>
          <t>/billing-import/manifeste : filtrer, paginer</t>
        </is>
      </c>
      <c r="G90" s="10" t="inlineStr">
        <is>
          <t>Uniquement les tickets de l'étape Manifeste</t>
        </is>
      </c>
      <c r="H90" s="11" t="n"/>
      <c r="I90" s="12" t="n"/>
      <c r="J90" s="11" t="n"/>
      <c r="K90" s="11" t="n"/>
      <c r="L90" s="11" t="n"/>
    </row>
    <row r="91">
      <c r="A91" s="10" t="inlineStr">
        <is>
          <t>Parcours rôle</t>
        </is>
      </c>
      <c r="B91" s="10" t="inlineStr">
        <is>
          <t>R05-02</t>
        </is>
      </c>
      <c r="C91" s="10" t="inlineStr">
        <is>
          <t>R05 Agent Pilote Manifeste (Import)</t>
        </is>
      </c>
      <c r="D91" s="10" t="inlineStr">
        <is>
          <t>Prendre en charge</t>
        </is>
      </c>
      <c r="E91" s="10" t="inlineStr"/>
      <c r="F91" s="10" t="inlineStr">
        <is>
          <t>Bouton Prendre en charge</t>
        </is>
      </c>
      <c r="G91" s="10" t="inlineStr">
        <is>
          <t>Ticket affecté à l'agent ; SLA démarré</t>
        </is>
      </c>
      <c r="H91" s="11" t="n"/>
      <c r="I91" s="12" t="n"/>
      <c r="J91" s="11" t="n"/>
      <c r="K91" s="11" t="n"/>
      <c r="L91" s="11" t="n"/>
    </row>
    <row r="92">
      <c r="A92" s="10" t="inlineStr">
        <is>
          <t>Parcours rôle</t>
        </is>
      </c>
      <c r="B92" s="10" t="inlineStr">
        <is>
          <t>R05-03</t>
        </is>
      </c>
      <c r="C92" s="10" t="inlineStr">
        <is>
          <t>R05 Agent Pilote Manifeste (Import)</t>
        </is>
      </c>
      <c r="D92" s="10" t="inlineStr">
        <is>
          <t>Demander un complément</t>
        </is>
      </c>
      <c r="E92" s="10" t="inlineStr"/>
      <c r="F92" s="10" t="inlineStr">
        <is>
          <t>Message au client + statut En attente client</t>
        </is>
      </c>
      <c r="G92" s="10" t="inlineStr">
        <is>
          <t>Client notifié ; SLA suspendu</t>
        </is>
      </c>
      <c r="H92" s="11" t="n"/>
      <c r="I92" s="12" t="n"/>
      <c r="J92" s="11" t="n"/>
      <c r="K92" s="11" t="n"/>
      <c r="L92" s="11" t="n"/>
    </row>
    <row r="93">
      <c r="A93" s="10" t="inlineStr">
        <is>
          <t>Parcours rôle</t>
        </is>
      </c>
      <c r="B93" s="10" t="inlineStr">
        <is>
          <t>R05-04</t>
        </is>
      </c>
      <c r="C93" s="10" t="inlineStr">
        <is>
          <t>R05 Agent Pilote Manifeste (Import)</t>
        </is>
      </c>
      <c r="D93" s="10" t="inlineStr">
        <is>
          <t>Valider l'étape</t>
        </is>
      </c>
      <c r="E93" s="10" t="inlineStr"/>
      <c r="F93" s="10" t="inlineStr">
        <is>
          <t>Valider le manifeste</t>
        </is>
      </c>
      <c r="G93" s="10" t="inlineStr">
        <is>
          <t>Passage à la Facturation (client IES : passage au circuit IES) ; historique horodaté</t>
        </is>
      </c>
      <c r="H93" s="11" t="n"/>
      <c r="I93" s="12" t="n"/>
      <c r="J93" s="11" t="n"/>
      <c r="K93" s="11" t="n"/>
      <c r="L93" s="11" t="n"/>
    </row>
    <row r="94">
      <c r="A94" s="10" t="inlineStr">
        <is>
          <t>Parcours rôle</t>
        </is>
      </c>
      <c r="B94" s="10" t="inlineStr">
        <is>
          <t>R05-05</t>
        </is>
      </c>
      <c r="C94" s="10" t="inlineStr">
        <is>
          <t>R05 Agent Pilote Manifeste (Import)</t>
        </is>
      </c>
      <c r="D94" s="10" t="inlineStr">
        <is>
          <t>Note interne</t>
        </is>
      </c>
      <c r="E94" s="10" t="inlineStr"/>
      <c r="F94" s="10" t="inlineStr">
        <is>
          <t>Ajouter une note interne</t>
        </is>
      </c>
      <c r="G94" s="10" t="inlineStr">
        <is>
          <t>Invisible côté client</t>
        </is>
      </c>
      <c r="H94" s="11" t="n"/>
      <c r="I94" s="12" t="n"/>
      <c r="J94" s="11" t="n"/>
      <c r="K94" s="11" t="n"/>
      <c r="L94" s="11" t="n"/>
    </row>
    <row r="95">
      <c r="A95" s="10" t="inlineStr">
        <is>
          <t>Parcours rôle</t>
        </is>
      </c>
      <c r="B95" s="10" t="inlineStr">
        <is>
          <t>R05-06</t>
        </is>
      </c>
      <c r="C95" s="10" t="inlineStr">
        <is>
          <t>R05 Agent Pilote Manifeste (Import)</t>
        </is>
      </c>
      <c r="D95" s="10" t="inlineStr">
        <is>
          <t>Rejeter une demande</t>
        </is>
      </c>
      <c r="E95" s="10" t="inlineStr"/>
      <c r="F95" s="10" t="inlineStr">
        <is>
          <t>Rejeter avec un motif (motif vide refusé)</t>
        </is>
      </c>
      <c r="G95" s="10" t="inlineStr">
        <is>
          <t>Ticket annulé (rejet manifeste) ; client notifié avec le motif</t>
        </is>
      </c>
      <c r="H95" s="11" t="n"/>
      <c r="I95" s="12" t="n"/>
      <c r="J95" s="11" t="n"/>
      <c r="K95" s="11" t="n"/>
      <c r="L95" s="11" t="n"/>
    </row>
    <row r="96">
      <c r="A96" s="10" t="inlineStr">
        <is>
          <t>Parcours rôle</t>
        </is>
      </c>
      <c r="B96" s="10" t="inlineStr">
        <is>
          <t>R05-07</t>
        </is>
      </c>
      <c r="C96" s="10" t="inlineStr">
        <is>
          <t>R05 Agent Pilote Manifeste (Import)</t>
        </is>
      </c>
      <c r="D96" s="10" t="inlineStr">
        <is>
          <t>Tableau de bord de l'agent</t>
        </is>
      </c>
      <c r="E96" s="10" t="inlineStr"/>
      <c r="F96" s="10" t="inlineStr">
        <is>
          <t>/agent/dashboard</t>
        </is>
      </c>
      <c r="G96" s="10" t="inlineStr">
        <is>
          <t>« Files de traitement actives » ≥ 1 avec la file Pilote Manifeste et son lien ; « Mes dossiers en cours » indique la vraie file et la vraie date de prise en charge</t>
        </is>
      </c>
      <c r="H96" s="11" t="n"/>
      <c r="I96" s="12" t="n"/>
      <c r="J96" s="11" t="n"/>
      <c r="K96" s="11" t="n"/>
      <c r="L96" s="11" t="n"/>
    </row>
    <row r="97">
      <c r="A97" s="10" t="inlineStr">
        <is>
          <t>Parcours rôle</t>
        </is>
      </c>
      <c r="B97" s="10" t="inlineStr">
        <is>
          <t>R05-08</t>
        </is>
      </c>
      <c r="C97" s="10" t="inlineStr">
        <is>
          <t>R05 Agent Pilote Manifeste (Import)</t>
        </is>
      </c>
      <c r="D97" s="10" t="inlineStr">
        <is>
          <t>Client visible et retour à la file</t>
        </is>
      </c>
      <c r="E97" s="10" t="inlineStr"/>
      <c r="F97" s="10" t="inlineStr">
        <is>
          <t>Dans la file : lire le client sous chaque BL ; ouvrir une fiche</t>
        </is>
      </c>
      <c r="G97" s="10" t="inlineStr">
        <is>
          <t>Nom de la société (et profil s'il n'est pas « Normal ») sous le BL ; sur la fiche, bouton « Instruire dans la file Pilote Manifeste → » à la place de « Prendre RDV Guichet »</t>
        </is>
      </c>
      <c r="H97" s="11" t="n"/>
      <c r="I97" s="12" t="n"/>
      <c r="J97" s="11" t="n"/>
      <c r="K97" s="11" t="n"/>
      <c r="L97" s="11" t="n"/>
    </row>
    <row r="98">
      <c r="A98" s="10" t="inlineStr">
        <is>
          <t>Parcours rôle</t>
        </is>
      </c>
      <c r="B98" s="10" t="inlineStr">
        <is>
          <t>R05-09</t>
        </is>
      </c>
      <c r="C98" s="10" t="inlineStr">
        <is>
          <t>R05 Agent Pilote Manifeste (Import)</t>
        </is>
      </c>
      <c r="D98" s="10" t="inlineStr">
        <is>
          <t>Menu et accès interdit</t>
        </is>
      </c>
      <c r="E98" s="10" t="inlineStr"/>
      <c r="F98" s="10" t="inlineStr">
        <is>
          <t>Vérifier le menu ; saisir l'URL d'un écran d'un autre profil</t>
        </is>
      </c>
      <c r="G98" s="10" t="inlineStr">
        <is>
          <t>Menu limité au profil ; écran étranger refusé</t>
        </is>
      </c>
      <c r="H98" s="11" t="n"/>
      <c r="I98" s="12" t="n"/>
      <c r="J98" s="11" t="n"/>
      <c r="K98" s="11" t="n"/>
      <c r="L98" s="11" t="n"/>
    </row>
    <row r="99">
      <c r="A99" s="10" t="inlineStr">
        <is>
          <t>Parcours rôle</t>
        </is>
      </c>
      <c r="B99" s="10" t="inlineStr">
        <is>
          <t>R06-01</t>
        </is>
      </c>
      <c r="C99" s="10" t="inlineStr">
        <is>
          <t>R06 Agent Contrôle documentaire (Import / Export)</t>
        </is>
      </c>
      <c r="D99" s="10" t="inlineStr">
        <is>
          <t>Contrôler les pièces</t>
        </is>
      </c>
      <c r="E99" s="10" t="inlineStr"/>
      <c r="F99" s="10" t="inlineStr">
        <is>
          <t>/billing-import/controle-documentaire ou /billing-export/controle-documentaire : ouvrir chaque pièce en aperçu</t>
        </is>
      </c>
      <c r="G99" s="10" t="inlineStr">
        <is>
          <t>Pièces lisibles sans téléchargement</t>
        </is>
      </c>
      <c r="H99" s="11" t="n"/>
      <c r="I99" s="12" t="n"/>
      <c r="J99" s="11" t="n"/>
      <c r="K99" s="11" t="n"/>
      <c r="L99" s="11" t="n"/>
    </row>
    <row r="100">
      <c r="A100" s="10" t="inlineStr">
        <is>
          <t>Parcours rôle</t>
        </is>
      </c>
      <c r="B100" s="10" t="inlineStr">
        <is>
          <t>R06-02</t>
        </is>
      </c>
      <c r="C100" s="10" t="inlineStr">
        <is>
          <t>R06 Agent Contrôle documentaire (Import / Export)</t>
        </is>
      </c>
      <c r="D100" s="10" t="inlineStr">
        <is>
          <t>Déposer les pièces de sortie</t>
        </is>
      </c>
      <c r="E100" s="10" t="inlineStr"/>
      <c r="F100" s="10" t="inlineStr">
        <is>
          <t>Dossier arrivé en Contrôle documentaire (paiement validé, lettrage confirmé ou client En compte) : Import « Dépôt BS / BADT &amp; Clôture », Export « Joindre BEE et clôturer »</t>
        </is>
      </c>
      <c r="G100" s="10" t="inlineStr">
        <is>
          <t>Pièces de sortie (BS/BADT à l'Import, BEE à l'Export) jointes et dossier clôturé en une seule action</t>
        </is>
      </c>
      <c r="H100" s="11" t="n"/>
      <c r="I100" s="12" t="n"/>
      <c r="J100" s="11" t="n"/>
      <c r="K100" s="11" t="n"/>
      <c r="L100" s="11" t="n"/>
    </row>
    <row r="101">
      <c r="A101" s="10" t="inlineStr">
        <is>
          <t>Parcours rôle</t>
        </is>
      </c>
      <c r="B101" s="10" t="inlineStr">
        <is>
          <t>R06-03</t>
        </is>
      </c>
      <c r="C101" s="10" t="inlineStr">
        <is>
          <t>R06 Agent Contrôle documentaire (Import / Export)</t>
        </is>
      </c>
      <c r="D101" s="10" t="inlineStr">
        <is>
          <t>Clôturer le dossier</t>
        </is>
      </c>
      <c r="E101" s="10" t="inlineStr"/>
      <c r="F101" s="10" t="inlineStr">
        <is>
          <t>Après le dépôt, rouvrir le dossier ; vérifier côté client</t>
        </is>
      </c>
      <c r="G101" s="10" t="inlineStr">
        <is>
          <t>Dossier « Clôturé », en lecture seule ; client notifié. C'est la dernière étape du circuit</t>
        </is>
      </c>
      <c r="H101" s="11" t="n"/>
      <c r="I101" s="12" t="n"/>
      <c r="J101" s="11" t="n"/>
      <c r="K101" s="11" t="n"/>
      <c r="L101" s="11" t="n"/>
    </row>
    <row r="102">
      <c r="A102" s="10" t="inlineStr">
        <is>
          <t>Parcours rôle</t>
        </is>
      </c>
      <c r="B102" s="10" t="inlineStr">
        <is>
          <t>R06-04</t>
        </is>
      </c>
      <c r="C102" s="10" t="inlineStr">
        <is>
          <t>R06 Agent Contrôle documentaire (Import / Export)</t>
        </is>
      </c>
      <c r="D102" s="10" t="inlineStr">
        <is>
          <t>Confirmation avant clôture</t>
        </is>
      </c>
      <c r="E102" s="10" t="inlineStr"/>
      <c r="F102" s="10" t="inlineStr">
        <is>
          <t>Choisir un fichier BS/BADT sur une ligne ; lire la fenêtre ; « Annuler », puis recommencer et « Déposer et valider »</t>
        </is>
      </c>
      <c r="G102" s="10" t="inlineStr">
        <is>
          <t>Fenêtre « Confirmer le dépôt » avec dossier, référence et nom du fichier ; « Annuler » ne clôture rien ; la clôture n'a lieu qu'après confirmation</t>
        </is>
      </c>
      <c r="H102" s="11" t="n"/>
      <c r="I102" s="12" t="n"/>
      <c r="J102" s="11" t="n"/>
      <c r="K102" s="11" t="n"/>
      <c r="L102" s="11" t="n"/>
    </row>
    <row r="103">
      <c r="A103" s="10" t="inlineStr">
        <is>
          <t>Parcours rôle</t>
        </is>
      </c>
      <c r="B103" s="10" t="inlineStr">
        <is>
          <t>R06-05</t>
        </is>
      </c>
      <c r="C103" s="10" t="inlineStr">
        <is>
          <t>R06 Agent Contrôle documentaire (Import / Export)</t>
        </is>
      </c>
      <c r="D103" s="10" t="inlineStr">
        <is>
          <t>Menu et accès interdit</t>
        </is>
      </c>
      <c r="E103" s="10" t="inlineStr"/>
      <c r="F103" s="10" t="inlineStr">
        <is>
          <t>Vérifier le menu ; saisir l'URL d'un écran d'un autre profil</t>
        </is>
      </c>
      <c r="G103" s="10" t="inlineStr">
        <is>
          <t>Menu limité au profil ; écran étranger refusé</t>
        </is>
      </c>
      <c r="H103" s="11" t="n"/>
      <c r="I103" s="12" t="n"/>
      <c r="J103" s="11" t="n"/>
      <c r="K103" s="11" t="n"/>
      <c r="L103" s="11" t="n"/>
    </row>
    <row r="104">
      <c r="A104" s="10" t="inlineStr">
        <is>
          <t>Parcours rôle</t>
        </is>
      </c>
      <c r="B104" s="10" t="inlineStr">
        <is>
          <t>R07-01</t>
        </is>
      </c>
      <c r="C104" s="10" t="inlineStr">
        <is>
          <t>R07 Agent Facturation (Import / Export)</t>
        </is>
      </c>
      <c r="D104" s="10" t="inlineStr">
        <is>
          <t>Éditer la facture</t>
        </is>
      </c>
      <c r="E104" s="10" t="inlineStr"/>
      <c r="F104" s="10" t="inlineStr">
        <is>
          <t>/billing-import/facturation ou /billing-export/facturation</t>
        </is>
      </c>
      <c r="G104" s="10" t="inlineStr">
        <is>
          <t>Facture émise ; montant conforme à la grille</t>
        </is>
      </c>
      <c r="H104" s="11" t="n"/>
      <c r="I104" s="12" t="n"/>
      <c r="J104" s="11" t="n"/>
      <c r="K104" s="11" t="n"/>
      <c r="L104" s="11" t="n"/>
    </row>
    <row r="105">
      <c r="A105" s="10" t="inlineStr">
        <is>
          <t>Parcours rôle</t>
        </is>
      </c>
      <c r="B105" s="10" t="inlineStr">
        <is>
          <t>R07-02</t>
        </is>
      </c>
      <c r="C105" s="10" t="inlineStr">
        <is>
          <t>R07 Agent Facturation (Import / Export)</t>
        </is>
      </c>
      <c r="D105" s="10" t="inlineStr">
        <is>
          <t>Transmettre selon le type de client</t>
        </is>
      </c>
      <c r="E105" s="10" t="inlineStr"/>
      <c r="F105" s="10" t="inlineStr">
        <is>
          <t>Déposer la facture sur un dossier Normal, puis En compte, puis Deposit</t>
        </is>
      </c>
      <c r="G105" s="10" t="inlineStr">
        <is>
          <t>Normal → Validation du paiement ; En compte → Contrôle documentaire (sans paiement) ; Deposit → Comptabilité client</t>
        </is>
      </c>
      <c r="H105" s="11" t="n"/>
      <c r="I105" s="12" t="n"/>
      <c r="J105" s="11" t="n"/>
      <c r="K105" s="11" t="n"/>
      <c r="L105" s="11" t="n"/>
    </row>
    <row r="106">
      <c r="A106" s="10" t="inlineStr">
        <is>
          <t>Parcours rôle</t>
        </is>
      </c>
      <c r="B106" s="10" t="inlineStr">
        <is>
          <t>R07-03</t>
        </is>
      </c>
      <c r="C106" s="10" t="inlineStr">
        <is>
          <t>R07 Agent Facturation (Import / Export)</t>
        </is>
      </c>
      <c r="D106" s="10" t="inlineStr">
        <is>
          <t>Confirmation avant dépôt de facture</t>
        </is>
      </c>
      <c r="E106" s="10" t="inlineStr"/>
      <c r="F106" s="10" t="inlineStr">
        <is>
          <t>File Facturation : choisir un fichier de facture ; annuler puis confirmer</t>
        </is>
      </c>
      <c r="G106" s="10" t="inlineStr">
        <is>
          <t>Rien n'est déposé avant « Déposer et valider » ; client et profil (En compte, Deposit…) affichés sous le BL</t>
        </is>
      </c>
      <c r="H106" s="11" t="n"/>
      <c r="I106" s="12" t="n"/>
      <c r="J106" s="11" t="n"/>
      <c r="K106" s="11" t="n"/>
      <c r="L106" s="11" t="n"/>
    </row>
    <row r="107">
      <c r="A107" s="10" t="inlineStr">
        <is>
          <t>Parcours rôle</t>
        </is>
      </c>
      <c r="B107" s="10" t="inlineStr">
        <is>
          <t>R07-04</t>
        </is>
      </c>
      <c r="C107" s="10" t="inlineStr">
        <is>
          <t>R07 Agent Facturation (Import / Export)</t>
        </is>
      </c>
      <c r="D107" s="10" t="inlineStr">
        <is>
          <t>Menu et accès interdit</t>
        </is>
      </c>
      <c r="E107" s="10" t="inlineStr"/>
      <c r="F107" s="10" t="inlineStr">
        <is>
          <t>Vérifier le menu ; saisir l'URL d'un écran d'un autre profil</t>
        </is>
      </c>
      <c r="G107" s="10" t="inlineStr">
        <is>
          <t>Menu limité au profil ; écran étranger refusé</t>
        </is>
      </c>
      <c r="H107" s="11" t="n"/>
      <c r="I107" s="12" t="n"/>
      <c r="J107" s="11" t="n"/>
      <c r="K107" s="11" t="n"/>
      <c r="L107" s="11" t="n"/>
    </row>
    <row r="108">
      <c r="A108" s="10" t="inlineStr">
        <is>
          <t>Parcours rôle</t>
        </is>
      </c>
      <c r="B108" s="10" t="inlineStr">
        <is>
          <t>R08-01</t>
        </is>
      </c>
      <c r="C108" s="10" t="inlineStr">
        <is>
          <t>R08 Agent Validation paiement</t>
        </is>
      </c>
      <c r="D108" s="10" t="inlineStr">
        <is>
          <t>Valider un paiement</t>
        </is>
      </c>
      <c r="E108" s="10" t="inlineStr"/>
      <c r="F108" s="10" t="inlineStr">
        <is>
          <t>/billing-import/validation-paiement ou /billing-export/validation-paiement : contrôler la preuve de paiement</t>
        </is>
      </c>
      <c r="G108" s="10" t="inlineStr">
        <is>
          <t>Paiement validé ; passage au Contrôle documentaire</t>
        </is>
      </c>
      <c r="H108" s="11" t="n"/>
      <c r="I108" s="12" t="n"/>
      <c r="J108" s="11" t="n"/>
      <c r="K108" s="11" t="n"/>
      <c r="L108" s="11" t="n"/>
    </row>
    <row r="109">
      <c r="A109" s="10" t="inlineStr">
        <is>
          <t>Parcours rôle</t>
        </is>
      </c>
      <c r="B109" s="10" t="inlineStr">
        <is>
          <t>R08-02</t>
        </is>
      </c>
      <c r="C109" s="10" t="inlineStr">
        <is>
          <t>R08 Agent Validation paiement</t>
        </is>
      </c>
      <c r="D109" s="10" t="inlineStr">
        <is>
          <t>Refuser un paiement</t>
        </is>
      </c>
      <c r="E109" s="10" t="inlineStr"/>
      <c r="F109" s="10" t="inlineStr">
        <is>
          <t>Refuser avec un motif</t>
        </is>
      </c>
      <c r="G109" s="10" t="inlineStr">
        <is>
          <t>Dossier « En attente client » (délai suspendu) ; client notifié ; il redépose une preuve</t>
        </is>
      </c>
      <c r="H109" s="11" t="n"/>
      <c r="I109" s="12" t="n"/>
      <c r="J109" s="11" t="n"/>
      <c r="K109" s="11" t="n"/>
      <c r="L109" s="11" t="n"/>
    </row>
    <row r="110">
      <c r="A110" s="10" t="inlineStr">
        <is>
          <t>Parcours rôle</t>
        </is>
      </c>
      <c r="B110" s="10" t="inlineStr">
        <is>
          <t>R08-03</t>
        </is>
      </c>
      <c r="C110" s="10" t="inlineStr">
        <is>
          <t>R08 Agent Validation paiement</t>
        </is>
      </c>
      <c r="D110" s="10" t="inlineStr">
        <is>
          <t>Voir la preuve depuis la file</t>
        </is>
      </c>
      <c r="E110" s="10" t="inlineStr"/>
      <c r="F110" s="10" t="inlineStr">
        <is>
          <t>File Validation paiement : cliquer « 👁 Voir la preuve » sur une ligne</t>
        </is>
      </c>
      <c r="G110" s="10" t="inlineStr">
        <is>
          <t>La preuve s'ouvre dans l'aperçu sans quitter la file ; « ⚠️ Aucune preuve de paiement déposée » si le client n'a rien joint</t>
        </is>
      </c>
      <c r="H110" s="11" t="n"/>
      <c r="I110" s="12" t="n"/>
      <c r="J110" s="11" t="n"/>
      <c r="K110" s="11" t="n"/>
      <c r="L110" s="11" t="n"/>
    </row>
    <row r="111">
      <c r="A111" s="10" t="inlineStr">
        <is>
          <t>Parcours rôle</t>
        </is>
      </c>
      <c r="B111" s="10" t="inlineStr">
        <is>
          <t>R08-04</t>
        </is>
      </c>
      <c r="C111" s="10" t="inlineStr">
        <is>
          <t>R08 Agent Validation paiement</t>
        </is>
      </c>
      <c r="D111" s="10" t="inlineStr">
        <is>
          <t>Menu et accès interdit</t>
        </is>
      </c>
      <c r="E111" s="10" t="inlineStr"/>
      <c r="F111" s="10" t="inlineStr">
        <is>
          <t>Vérifier le menu ; saisir l'URL d'un écran d'un autre profil</t>
        </is>
      </c>
      <c r="G111" s="10" t="inlineStr">
        <is>
          <t>Menu limité au profil ; écran étranger refusé</t>
        </is>
      </c>
      <c r="H111" s="11" t="n"/>
      <c r="I111" s="12" t="n"/>
      <c r="J111" s="11" t="n"/>
      <c r="K111" s="11" t="n"/>
      <c r="L111" s="11" t="n"/>
    </row>
    <row r="112">
      <c r="A112" s="10" t="inlineStr">
        <is>
          <t>Parcours rôle</t>
        </is>
      </c>
      <c r="B112" s="10" t="inlineStr">
        <is>
          <t>R09-01</t>
        </is>
      </c>
      <c r="C112" s="10" t="inlineStr">
        <is>
          <t>R09 Comptabilité (lettrage)</t>
        </is>
      </c>
      <c r="D112" s="10" t="inlineStr">
        <is>
          <t>Confirmer le lettrage</t>
        </is>
      </c>
      <c r="E112" s="10" t="inlineStr"/>
      <c r="F112" s="10" t="inlineStr">
        <is>
          <t>Dossier d'un client Deposit : effectuer le lettrage dans IRIS, puis /billing-import/comptabilite-client ou /billing-export/comptabilite : confirmer</t>
        </is>
      </c>
      <c r="G112" s="10" t="inlineStr">
        <is>
          <t>Lettrage confirmé ; passage au Contrôle documentaire (le dossier n'est PAS clôturé à cette étape)</t>
        </is>
      </c>
      <c r="H112" s="11" t="n"/>
      <c r="I112" s="12" t="n"/>
      <c r="J112" s="11" t="n"/>
      <c r="K112" s="11" t="n"/>
      <c r="L112" s="11" t="n"/>
    </row>
    <row r="113">
      <c r="A113" s="10" t="inlineStr">
        <is>
          <t>Parcours rôle</t>
        </is>
      </c>
      <c r="B113" s="10" t="inlineStr">
        <is>
          <t>R09-02</t>
        </is>
      </c>
      <c r="C113" s="10" t="inlineStr">
        <is>
          <t>R09 Comptabilité (lettrage)</t>
        </is>
      </c>
      <c r="D113" s="10" t="inlineStr">
        <is>
          <t>Consulter un ticket clôturé</t>
        </is>
      </c>
      <c r="E113" s="10" t="inlineStr"/>
      <c r="F113" s="10" t="inlineStr">
        <is>
          <t>/billing-import/ticket-cloture</t>
        </is>
      </c>
      <c r="G113" s="10" t="inlineStr">
        <is>
          <t>Ticket en lecture seule</t>
        </is>
      </c>
      <c r="H113" s="11" t="n"/>
      <c r="I113" s="12" t="n"/>
      <c r="J113" s="11" t="n"/>
      <c r="K113" s="11" t="n"/>
      <c r="L113" s="11" t="n"/>
    </row>
    <row r="114">
      <c r="A114" s="10" t="inlineStr">
        <is>
          <t>Parcours rôle</t>
        </is>
      </c>
      <c r="B114" s="10" t="inlineStr">
        <is>
          <t>R09-03</t>
        </is>
      </c>
      <c r="C114" s="10" t="inlineStr">
        <is>
          <t>R09 Comptabilité (lettrage)</t>
        </is>
      </c>
      <c r="D114" s="10" t="inlineStr">
        <is>
          <t>Menu et accès interdit</t>
        </is>
      </c>
      <c r="E114" s="10" t="inlineStr"/>
      <c r="F114" s="10" t="inlineStr">
        <is>
          <t>Vérifier le menu ; saisir l'URL d'un écran d'un autre profil</t>
        </is>
      </c>
      <c r="G114" s="10" t="inlineStr">
        <is>
          <t>Menu limité au profil ; écran étranger refusé</t>
        </is>
      </c>
      <c r="H114" s="11" t="n"/>
      <c r="I114" s="12" t="n"/>
      <c r="J114" s="11" t="n"/>
      <c r="K114" s="11" t="n"/>
      <c r="L114" s="11" t="n"/>
    </row>
    <row r="115">
      <c r="A115" s="10" t="inlineStr">
        <is>
          <t>Parcours rôle</t>
        </is>
      </c>
      <c r="B115" s="10" t="inlineStr">
        <is>
          <t>R10-01</t>
        </is>
      </c>
      <c r="C115" s="10" t="inlineStr">
        <is>
          <t>R10 Agent IES (Import / Export)</t>
        </is>
      </c>
      <c r="D115" s="10" t="inlineStr">
        <is>
          <t>Traitement IES Import</t>
        </is>
      </c>
      <c r="E115" s="10" t="inlineStr"/>
      <c r="F115" s="10" t="inlineStr">
        <is>
          <t>/billing-import/ies : instruire manifeste et contrôle documentaire IES</t>
        </is>
      </c>
      <c r="G115" s="10" t="inlineStr">
        <is>
          <t>Étapes IES validées et tracées</t>
        </is>
      </c>
      <c r="H115" s="11" t="n"/>
      <c r="I115" s="12" t="n"/>
      <c r="J115" s="11" t="n"/>
      <c r="K115" s="11" t="n"/>
      <c r="L115" s="11" t="n"/>
    </row>
    <row r="116">
      <c r="A116" s="10" t="inlineStr">
        <is>
          <t>Parcours rôle</t>
        </is>
      </c>
      <c r="B116" s="10" t="inlineStr">
        <is>
          <t>R10-02</t>
        </is>
      </c>
      <c r="C116" s="10" t="inlineStr">
        <is>
          <t>R10 Agent IES (Import / Export)</t>
        </is>
      </c>
      <c r="D116" s="10" t="inlineStr">
        <is>
          <t>Traitement IES Export</t>
        </is>
      </c>
      <c r="E116" s="10" t="inlineStr"/>
      <c r="F116" s="10" t="inlineStr">
        <is>
          <t>/billing-export/ies</t>
        </is>
      </c>
      <c r="G116" s="10" t="inlineStr">
        <is>
          <t>Idem côté Export</t>
        </is>
      </c>
      <c r="H116" s="11" t="n"/>
      <c r="I116" s="12" t="n"/>
      <c r="J116" s="11" t="n"/>
      <c r="K116" s="11" t="n"/>
      <c r="L116" s="11" t="n"/>
    </row>
    <row r="117">
      <c r="A117" s="10" t="inlineStr">
        <is>
          <t>Parcours rôle</t>
        </is>
      </c>
      <c r="B117" s="10" t="inlineStr">
        <is>
          <t>R10-03</t>
        </is>
      </c>
      <c r="C117" s="10" t="inlineStr">
        <is>
          <t>R10 Agent IES (Import / Export)</t>
        </is>
      </c>
      <c r="D117" s="10" t="inlineStr">
        <is>
          <t>Menu et accès interdit</t>
        </is>
      </c>
      <c r="E117" s="10" t="inlineStr"/>
      <c r="F117" s="10" t="inlineStr">
        <is>
          <t>Vérifier le menu ; saisir l'URL d'un écran d'un autre profil</t>
        </is>
      </c>
      <c r="G117" s="10" t="inlineStr">
        <is>
          <t>Menu limité au profil ; écran étranger refusé</t>
        </is>
      </c>
      <c r="H117" s="11" t="n"/>
      <c r="I117" s="12" t="n"/>
      <c r="J117" s="11" t="n"/>
      <c r="K117" s="11" t="n"/>
      <c r="L117" s="11" t="n"/>
    </row>
    <row r="118">
      <c r="A118" s="10" t="inlineStr">
        <is>
          <t>Parcours rôle</t>
        </is>
      </c>
      <c r="B118" s="10" t="inlineStr">
        <is>
          <t>R11-01</t>
        </is>
      </c>
      <c r="C118" s="10" t="inlineStr">
        <is>
          <t>R11 Agent Back Office Export</t>
        </is>
      </c>
      <c r="D118" s="10" t="inlineStr">
        <is>
          <t>Instruire un dossier Export</t>
        </is>
      </c>
      <c r="E118" s="10" t="inlineStr"/>
      <c r="F118" s="10" t="inlineStr">
        <is>
          <t>/billing-export/back-office : prendre en charge, compléter, valider</t>
        </is>
      </c>
      <c r="G118" s="10" t="inlineStr">
        <is>
          <t>Passage à la Facturation Export (client IES : circuit IES)</t>
        </is>
      </c>
      <c r="H118" s="11" t="n"/>
      <c r="I118" s="12" t="n"/>
      <c r="J118" s="11" t="n"/>
      <c r="K118" s="11" t="n"/>
      <c r="L118" s="11" t="n"/>
    </row>
    <row r="119">
      <c r="A119" s="10" t="inlineStr">
        <is>
          <t>Parcours rôle</t>
        </is>
      </c>
      <c r="B119" s="10" t="inlineStr">
        <is>
          <t>R11-02</t>
        </is>
      </c>
      <c r="C119" s="10" t="inlineStr">
        <is>
          <t>R11 Agent Back Office Export</t>
        </is>
      </c>
      <c r="D119" s="10" t="inlineStr">
        <is>
          <t>Menu et accès interdit</t>
        </is>
      </c>
      <c r="E119" s="10" t="inlineStr"/>
      <c r="F119" s="10" t="inlineStr">
        <is>
          <t>Vérifier le menu ; saisir l'URL d'un écran d'un autre profil</t>
        </is>
      </c>
      <c r="G119" s="10" t="inlineStr">
        <is>
          <t>Menu limité au profil ; écran étranger refusé</t>
        </is>
      </c>
      <c r="H119" s="11" t="n"/>
      <c r="I119" s="12" t="n"/>
      <c r="J119" s="11" t="n"/>
      <c r="K119" s="11" t="n"/>
      <c r="L119" s="11" t="n"/>
    </row>
    <row r="120">
      <c r="A120" s="10" t="inlineStr">
        <is>
          <t>Parcours rôle</t>
        </is>
      </c>
      <c r="B120" s="10" t="inlineStr">
        <is>
          <t>R12-01</t>
        </is>
      </c>
      <c r="C120" s="10" t="inlineStr">
        <is>
          <t>R12 Agent Guichet (Billing Office)</t>
        </is>
      </c>
      <c r="D120" s="10" t="inlineStr">
        <is>
          <t>Recherche rapide</t>
        </is>
      </c>
      <c r="E120" s="10" t="inlineStr"/>
      <c r="F120" s="10" t="inlineStr">
        <is>
          <t>/guichet/recherche : par n° de BL, de ticket ou société</t>
        </is>
      </c>
      <c r="G120" s="10" t="inlineStr">
        <is>
          <t>Dossier trouvé ; consultation sans ressaisie</t>
        </is>
      </c>
      <c r="H120" s="11" t="n"/>
      <c r="I120" s="12" t="n"/>
      <c r="J120" s="11" t="n"/>
      <c r="K120" s="11" t="n"/>
      <c r="L120" s="11" t="n"/>
    </row>
    <row r="121">
      <c r="A121" s="10" t="inlineStr">
        <is>
          <t>Parcours rôle</t>
        </is>
      </c>
      <c r="B121" s="10" t="inlineStr">
        <is>
          <t>R12-02</t>
        </is>
      </c>
      <c r="C121" s="10" t="inlineStr">
        <is>
          <t>R12 Agent Guichet (Billing Office)</t>
        </is>
      </c>
      <c r="D121" s="10" t="inlineStr">
        <is>
          <t>Aperçu des pièces</t>
        </is>
      </c>
      <c r="E121" s="10" t="inlineStr"/>
      <c r="F121" s="10" t="inlineStr">
        <is>
          <t>Dans le dossier consulté : 👁 Ouvrir</t>
        </is>
      </c>
      <c r="G121" s="10" t="inlineStr">
        <is>
          <t>Pièce affichée dans l'application</t>
        </is>
      </c>
      <c r="H121" s="11" t="n"/>
      <c r="I121" s="12" t="n"/>
      <c r="J121" s="11" t="n"/>
      <c r="K121" s="11" t="n"/>
      <c r="L121" s="11" t="n"/>
    </row>
    <row r="122">
      <c r="A122" s="10" t="inlineStr">
        <is>
          <t>Parcours rôle</t>
        </is>
      </c>
      <c r="B122" s="10" t="inlineStr">
        <is>
          <t>R12-03</t>
        </is>
      </c>
      <c r="C122" s="10" t="inlineStr">
        <is>
          <t>R12 Agent Guichet (Billing Office)</t>
        </is>
      </c>
      <c r="D122" s="10" t="inlineStr">
        <is>
          <t>Agenda par période</t>
        </is>
      </c>
      <c r="E122" s="10" t="inlineStr"/>
      <c r="F122" s="10" t="inlineStr">
        <is>
          <t>/guichet/agenda : vues Jour, Semaine de travail, Semaine, Mois ; Aujourd'hui, précédent/suivant, sélecteur de date</t>
        </is>
      </c>
      <c r="G122" s="10" t="inlineStr">
        <is>
          <t>Rendez-vous au bon jour et à la bonne heure ; « +N » en vue Mois au-delà de 3</t>
        </is>
      </c>
      <c r="H122" s="11" t="n"/>
      <c r="I122" s="12" t="n"/>
      <c r="J122" s="11" t="n"/>
      <c r="K122" s="11" t="n"/>
      <c r="L122" s="11" t="n"/>
    </row>
    <row r="123">
      <c r="A123" s="10" t="inlineStr">
        <is>
          <t>Parcours rôle</t>
        </is>
      </c>
      <c r="B123" s="10" t="inlineStr">
        <is>
          <t>R12-04</t>
        </is>
      </c>
      <c r="C123" s="10" t="inlineStr">
        <is>
          <t>R12 Agent Guichet (Billing Office)</t>
        </is>
      </c>
      <c r="D123" s="10" t="inlineStr">
        <is>
          <t>Constater la présence</t>
        </is>
      </c>
      <c r="E123" s="10" t="inlineStr"/>
      <c r="F123" s="10" t="inlineStr">
        <is>
          <t>Marquer un rendez-vous Honoré puis un autre Non présenté</t>
        </is>
      </c>
      <c r="G123" s="10" t="inlineStr">
        <is>
          <t>Statuts mis à jour et horodatés</t>
        </is>
      </c>
      <c r="H123" s="11" t="n"/>
      <c r="I123" s="12" t="n"/>
      <c r="J123" s="11" t="n"/>
      <c r="K123" s="11" t="n"/>
      <c r="L123" s="11" t="n"/>
    </row>
    <row r="124">
      <c r="A124" s="10" t="inlineStr">
        <is>
          <t>Parcours rôle</t>
        </is>
      </c>
      <c r="B124" s="10" t="inlineStr">
        <is>
          <t>R12-05</t>
        </is>
      </c>
      <c r="C124" s="10" t="inlineStr">
        <is>
          <t>R12 Agent Guichet (Billing Office)</t>
        </is>
      </c>
      <c r="D124" s="10" t="inlineStr">
        <is>
          <t>Mode dégradé</t>
        </is>
      </c>
      <c r="E124" s="10" t="inlineStr"/>
      <c r="F124" s="10" t="inlineStr">
        <is>
          <t>Régulariser une opération faite hors système</t>
        </is>
      </c>
      <c r="G124" s="10" t="inlineStr">
        <is>
          <t>Régularisation tracée au journal d'audit</t>
        </is>
      </c>
      <c r="H124" s="11" t="n"/>
      <c r="I124" s="12" t="n"/>
      <c r="J124" s="11" t="n"/>
      <c r="K124" s="11" t="n"/>
      <c r="L124" s="11" t="n"/>
    </row>
    <row r="125">
      <c r="A125" s="10" t="inlineStr">
        <is>
          <t>Parcours rôle</t>
        </is>
      </c>
      <c r="B125" s="10" t="inlineStr">
        <is>
          <t>R12-06</t>
        </is>
      </c>
      <c r="C125" s="10" t="inlineStr">
        <is>
          <t>R12 Agent Guichet (Billing Office)</t>
        </is>
      </c>
      <c r="D125" s="10" t="inlineStr">
        <is>
          <t>Menu et accès interdit</t>
        </is>
      </c>
      <c r="E125" s="10" t="inlineStr"/>
      <c r="F125" s="10" t="inlineStr">
        <is>
          <t>Vérifier le menu ; saisir l'URL d'un écran d'un autre profil</t>
        </is>
      </c>
      <c r="G125" s="10" t="inlineStr">
        <is>
          <t>Menu limité au profil ; écran étranger refusé</t>
        </is>
      </c>
      <c r="H125" s="11" t="n"/>
      <c r="I125" s="12" t="n"/>
      <c r="J125" s="11" t="n"/>
      <c r="K125" s="11" t="n"/>
      <c r="L125" s="11" t="n"/>
    </row>
    <row r="126">
      <c r="A126" s="10" t="inlineStr">
        <is>
          <t>Parcours rôle</t>
        </is>
      </c>
      <c r="B126" s="10" t="inlineStr">
        <is>
          <t>R13-01</t>
        </is>
      </c>
      <c r="C126" s="10" t="inlineStr">
        <is>
          <t>R13 Agent Réclamations</t>
        </is>
      </c>
      <c r="D126" s="10" t="inlineStr">
        <is>
          <t>Instruire</t>
        </is>
      </c>
      <c r="E126" s="10" t="inlineStr"/>
      <c r="F126" s="10" t="inlineStr">
        <is>
          <t>/reclamations/file : prendre en charge, répondre</t>
        </is>
      </c>
      <c r="G126" s="10" t="inlineStr">
        <is>
          <t>Client notifié ; réponse horodatée</t>
        </is>
      </c>
      <c r="H126" s="11" t="n"/>
      <c r="I126" s="12" t="n"/>
      <c r="J126" s="11" t="n"/>
      <c r="K126" s="11" t="n"/>
      <c r="L126" s="11" t="n"/>
    </row>
    <row r="127">
      <c r="A127" s="10" t="inlineStr">
        <is>
          <t>Parcours rôle</t>
        </is>
      </c>
      <c r="B127" s="10" t="inlineStr">
        <is>
          <t>R13-02</t>
        </is>
      </c>
      <c r="C127" s="10" t="inlineStr">
        <is>
          <t>R13 Agent Réclamations</t>
        </is>
      </c>
      <c r="D127" s="10" t="inlineStr">
        <is>
          <t>Clôturer</t>
        </is>
      </c>
      <c r="E127" s="10" t="inlineStr"/>
      <c r="F127" s="10" t="inlineStr">
        <is>
          <t>Clôturer la réclamation</t>
        </is>
      </c>
      <c r="G127" s="10" t="inlineStr">
        <is>
          <t>Statut Clôturé</t>
        </is>
      </c>
      <c r="H127" s="11" t="n"/>
      <c r="I127" s="12" t="n"/>
      <c r="J127" s="11" t="n"/>
      <c r="K127" s="11" t="n"/>
      <c r="L127" s="11" t="n"/>
    </row>
    <row r="128">
      <c r="A128" s="10" t="inlineStr">
        <is>
          <t>Parcours rôle</t>
        </is>
      </c>
      <c r="B128" s="10" t="inlineStr">
        <is>
          <t>R13-03</t>
        </is>
      </c>
      <c r="C128" s="10" t="inlineStr">
        <is>
          <t>R13 Agent Réclamations</t>
        </is>
      </c>
      <c r="D128" s="10" t="inlineStr">
        <is>
          <t>Menu et accès interdit</t>
        </is>
      </c>
      <c r="E128" s="10" t="inlineStr"/>
      <c r="F128" s="10" t="inlineStr">
        <is>
          <t>Vérifier le menu ; saisir l'URL d'un écran d'un autre profil</t>
        </is>
      </c>
      <c r="G128" s="10" t="inlineStr">
        <is>
          <t>Menu limité au profil ; écran étranger refusé</t>
        </is>
      </c>
      <c r="H128" s="11" t="n"/>
      <c r="I128" s="12" t="n"/>
      <c r="J128" s="11" t="n"/>
      <c r="K128" s="11" t="n"/>
      <c r="L128" s="11" t="n"/>
    </row>
    <row r="129">
      <c r="A129" s="10" t="inlineStr">
        <is>
          <t>Parcours rôle</t>
        </is>
      </c>
      <c r="B129" s="10" t="inlineStr">
        <is>
          <t>R14-01</t>
        </is>
      </c>
      <c r="C129" s="10" t="inlineStr">
        <is>
          <t>R14 Agent Gate (enrôlement)</t>
        </is>
      </c>
      <c r="D129" s="10" t="inlineStr">
        <is>
          <t>Instruire</t>
        </is>
      </c>
      <c r="E129" s="10" t="inlineStr"/>
      <c r="F129" s="10" t="inlineStr">
        <is>
          <t>/enrolement/file-agent-gate : vérifier les pièces, demander un complément</t>
        </is>
      </c>
      <c r="G129" s="10" t="inlineStr">
        <is>
          <t>Transporteur notifié</t>
        </is>
      </c>
      <c r="H129" s="11" t="n"/>
      <c r="I129" s="12" t="n"/>
      <c r="J129" s="11" t="n"/>
      <c r="K129" s="11" t="n"/>
      <c r="L129" s="11" t="n"/>
    </row>
    <row r="130">
      <c r="A130" s="10" t="inlineStr">
        <is>
          <t>Parcours rôle</t>
        </is>
      </c>
      <c r="B130" s="10" t="inlineStr">
        <is>
          <t>R14-02</t>
        </is>
      </c>
      <c r="C130" s="10" t="inlineStr">
        <is>
          <t>R14 Agent Gate (enrôlement)</t>
        </is>
      </c>
      <c r="D130" s="10" t="inlineStr">
        <is>
          <t>Valider, convoquer et remettre le badge</t>
        </is>
      </c>
      <c r="E130" s="10" t="inlineStr"/>
      <c r="F130" s="10" t="inlineStr">
        <is>
          <t>Valider, déclencher la convocation, puis « 🪪 Constater la remise du badge » : saisir le numéro du badge et sa date d'expiration ; « Confirmer la remise »</t>
        </is>
      </c>
      <c r="G130" s="10" t="inlineStr">
        <is>
          <t>« Confirmer la remise » grisé tant que le numéro est vide ; date passée refusée ; dossier clôturé ; historique « Badge n° …, expire le … »</t>
        </is>
      </c>
      <c r="H130" s="11" t="n"/>
      <c r="I130" s="12" t="n"/>
      <c r="J130" s="11" t="n"/>
      <c r="K130" s="11" t="n"/>
      <c r="L130" s="11" t="n"/>
    </row>
    <row r="131">
      <c r="A131" s="10" t="inlineStr">
        <is>
          <t>Parcours rôle</t>
        </is>
      </c>
      <c r="B131" s="10" t="inlineStr">
        <is>
          <t>R14-03</t>
        </is>
      </c>
      <c r="C131" s="10" t="inlineStr">
        <is>
          <t>R14 Agent Gate (enrôlement)</t>
        </is>
      </c>
      <c r="D131" s="10" t="inlineStr">
        <is>
          <t>Notification de remise</t>
        </is>
      </c>
      <c r="E131" s="10" t="inlineStr"/>
      <c r="F131" s="10" t="inlineStr">
        <is>
          <t>Après la remise d'un badge sur un dossier de flotte, demander à l'entreprise ce qu'elle a reçu</t>
        </is>
      </c>
      <c r="G131" s="10" t="inlineStr">
        <is>
          <t>Le représentant et l'administrateur de l'entreprise sont notifiés (cloche + e-mail)</t>
        </is>
      </c>
      <c r="H131" s="11" t="n"/>
      <c r="I131" s="12" t="n"/>
      <c r="J131" s="11" t="n"/>
      <c r="K131" s="11" t="n"/>
      <c r="L131" s="11" t="n"/>
    </row>
    <row r="132">
      <c r="A132" s="10" t="inlineStr">
        <is>
          <t>Parcours rôle</t>
        </is>
      </c>
      <c r="B132" s="10" t="inlineStr">
        <is>
          <t>R14-04</t>
        </is>
      </c>
      <c r="C132" s="10" t="inlineStr">
        <is>
          <t>R14 Agent Gate (enrôlement)</t>
        </is>
      </c>
      <c r="D132" s="10" t="inlineStr">
        <is>
          <t>Doublons et entreprise affichés</t>
        </is>
      </c>
      <c r="E132" s="10" t="inlineStr"/>
      <c r="F132" s="10" t="inlineStr">
        <is>
          <t>File Agent Gate : repérer deux demandes identiques (même camion)</t>
        </is>
      </c>
      <c r="G132" s="10" t="inlineStr">
        <is>
          <t>« ⚠️ Doublon possible : ENR-… » sur chacune ; entreprise de transport affichée sous l'objet</t>
        </is>
      </c>
      <c r="H132" s="11" t="n"/>
      <c r="I132" s="12" t="n"/>
      <c r="J132" s="11" t="n"/>
      <c r="K132" s="11" t="n"/>
      <c r="L132" s="11" t="n"/>
    </row>
    <row r="133">
      <c r="A133" s="10" t="inlineStr">
        <is>
          <t>Parcours rôle</t>
        </is>
      </c>
      <c r="B133" s="10" t="inlineStr">
        <is>
          <t>R14-05</t>
        </is>
      </c>
      <c r="C133" s="10" t="inlineStr">
        <is>
          <t>R14 Agent Gate (enrôlement)</t>
        </is>
      </c>
      <c r="D133" s="10" t="inlineStr">
        <is>
          <t>Demander un complément de pièces</t>
        </is>
      </c>
      <c r="E133" s="10" t="inlineStr"/>
      <c r="F133" s="10" t="inlineStr">
        <is>
          <t>Prendre en charge, « Demander un complément » avec un motif ; côté transporteur, répondre avec des pièces</t>
        </is>
      </c>
      <c r="G133" s="10" t="inlineStr">
        <is>
          <t>Le transporteur voit le motif ; les pièces reçues apparaissent sur la fiche (aperçu « Ouvrir ») ; historique en clair (« Complément demandé au client », « Document déposé »)</t>
        </is>
      </c>
      <c r="H133" s="11" t="n"/>
      <c r="I133" s="12" t="n"/>
      <c r="J133" s="11" t="n"/>
      <c r="K133" s="11" t="n"/>
      <c r="L133" s="11" t="n"/>
    </row>
    <row r="134">
      <c r="A134" s="10" t="inlineStr">
        <is>
          <t>Parcours rôle</t>
        </is>
      </c>
      <c r="B134" s="10" t="inlineStr">
        <is>
          <t>R14-06</t>
        </is>
      </c>
      <c r="C134" s="10" t="inlineStr">
        <is>
          <t>R14 Agent Gate (enrôlement)</t>
        </is>
      </c>
      <c r="D134" s="10" t="inlineStr">
        <is>
          <t>Formulaire officiel dans le dossier</t>
        </is>
      </c>
      <c r="E134" s="10" t="inlineStr"/>
      <c r="F134" s="10" t="inlineStr">
        <is>
          <t>Ouvrir un ticket d'enrôlement de flotte ; onglet Documents</t>
        </is>
      </c>
      <c r="G134" s="10" t="inlineStr">
        <is>
          <t>Le PDF CIT-CIV-CG-F-0001 ou F-0002 est présent, consultable en aperçu ; il tient lieu du formulaire papier signé</t>
        </is>
      </c>
      <c r="H134" s="11" t="n"/>
      <c r="I134" s="12" t="n"/>
      <c r="J134" s="11" t="n"/>
      <c r="K134" s="11" t="n"/>
      <c r="L134" s="11" t="n"/>
    </row>
    <row r="135">
      <c r="A135" s="10" t="inlineStr">
        <is>
          <t>Parcours rôle</t>
        </is>
      </c>
      <c r="B135" s="10" t="inlineStr">
        <is>
          <t>R14-07</t>
        </is>
      </c>
      <c r="C135" s="10" t="inlineStr">
        <is>
          <t>R14 Agent Gate (enrôlement)</t>
        </is>
      </c>
      <c r="D135" s="10" t="inlineStr">
        <is>
          <t>Menu et accès interdit</t>
        </is>
      </c>
      <c r="E135" s="10" t="inlineStr"/>
      <c r="F135" s="10" t="inlineStr">
        <is>
          <t>Vérifier le menu ; saisir l'URL d'un écran d'un autre profil</t>
        </is>
      </c>
      <c r="G135" s="10" t="inlineStr">
        <is>
          <t>Menu limité au profil ; écran étranger refusé</t>
        </is>
      </c>
      <c r="H135" s="11" t="n"/>
      <c r="I135" s="12" t="n"/>
      <c r="J135" s="11" t="n"/>
      <c r="K135" s="11" t="n"/>
      <c r="L135" s="11" t="n"/>
    </row>
    <row r="136">
      <c r="A136" s="10" t="inlineStr">
        <is>
          <t>Parcours rôle</t>
        </is>
      </c>
      <c r="B136" s="10" t="inlineStr">
        <is>
          <t>R15-01</t>
        </is>
      </c>
      <c r="C136" s="10" t="inlineStr">
        <is>
          <t>R15 Instructeur / décideur Avoir &amp; Exonération</t>
        </is>
      </c>
      <c r="D136" s="10" t="inlineStr">
        <is>
          <t>Instruire</t>
        </is>
      </c>
      <c r="E136" s="10" t="inlineStr"/>
      <c r="F136" s="10" t="inlineStr">
        <is>
          <t>/avoir-exoneration/file : ouvrir une demande</t>
        </is>
      </c>
      <c r="G136" s="10" t="inlineStr">
        <is>
          <t>Fiche complète ; pièces en aperçu</t>
        </is>
      </c>
      <c r="H136" s="11" t="n"/>
      <c r="I136" s="12" t="n"/>
      <c r="J136" s="11" t="n"/>
      <c r="K136" s="11" t="n"/>
      <c r="L136" s="11" t="n"/>
    </row>
    <row r="137">
      <c r="A137" s="10" t="inlineStr">
        <is>
          <t>Parcours rôle</t>
        </is>
      </c>
      <c r="B137" s="10" t="inlineStr">
        <is>
          <t>R15-02</t>
        </is>
      </c>
      <c r="C137" s="10" t="inlineStr">
        <is>
          <t>R15 Instructeur / décideur Avoir &amp; Exonération</t>
        </is>
      </c>
      <c r="D137" s="10" t="inlineStr">
        <is>
          <t>Décider</t>
        </is>
      </c>
      <c r="E137" s="10" t="inlineStr"/>
      <c r="F137" s="10" t="inlineStr">
        <is>
          <t>Accorder, puis rejeter une autre demande avec motif</t>
        </is>
      </c>
      <c r="G137" s="10" t="inlineStr">
        <is>
          <t>Décision horodatée ; client notifié</t>
        </is>
      </c>
      <c r="H137" s="11" t="n"/>
      <c r="I137" s="12" t="n"/>
      <c r="J137" s="11" t="n"/>
      <c r="K137" s="11" t="n"/>
      <c r="L137" s="11" t="n"/>
    </row>
    <row r="138">
      <c r="A138" s="10" t="inlineStr">
        <is>
          <t>Parcours rôle</t>
        </is>
      </c>
      <c r="B138" s="10" t="inlineStr">
        <is>
          <t>R15-03</t>
        </is>
      </c>
      <c r="C138" s="10" t="inlineStr">
        <is>
          <t>R15 Instructeur / décideur Avoir &amp; Exonération</t>
        </is>
      </c>
      <c r="D138" s="10" t="inlineStr">
        <is>
          <t>Séparation des droits</t>
        </is>
      </c>
      <c r="E138" s="10" t="inlineStr"/>
      <c r="F138" s="10" t="inlineStr">
        <is>
          <t>Un instructeur Avoir sans droit Exonération tente d'instruire une Exonération</t>
        </is>
      </c>
      <c r="G138" s="10" t="inlineStr">
        <is>
          <t>Action refusée</t>
        </is>
      </c>
      <c r="H138" s="11" t="n"/>
      <c r="I138" s="12" t="n"/>
      <c r="J138" s="11" t="n"/>
      <c r="K138" s="11" t="n"/>
      <c r="L138" s="11" t="n"/>
    </row>
    <row r="139">
      <c r="A139" s="10" t="inlineStr">
        <is>
          <t>Parcours rôle</t>
        </is>
      </c>
      <c r="B139" s="10" t="inlineStr">
        <is>
          <t>R15-04</t>
        </is>
      </c>
      <c r="C139" s="10" t="inlineStr">
        <is>
          <t>R15 Instructeur / décideur Avoir &amp; Exonération</t>
        </is>
      </c>
      <c r="D139" s="10" t="inlineStr">
        <is>
          <t>Menu et accès interdit</t>
        </is>
      </c>
      <c r="E139" s="10" t="inlineStr"/>
      <c r="F139" s="10" t="inlineStr">
        <is>
          <t>Vérifier le menu ; saisir l'URL d'un écran d'un autre profil</t>
        </is>
      </c>
      <c r="G139" s="10" t="inlineStr">
        <is>
          <t>Menu limité au profil ; écran étranger refusé</t>
        </is>
      </c>
      <c r="H139" s="11" t="n"/>
      <c r="I139" s="12" t="n"/>
      <c r="J139" s="11" t="n"/>
      <c r="K139" s="11" t="n"/>
      <c r="L139" s="11" t="n"/>
    </row>
    <row r="140">
      <c r="A140" s="10" t="inlineStr">
        <is>
          <t>Parcours rôle</t>
        </is>
      </c>
      <c r="B140" s="10" t="inlineStr">
        <is>
          <t>R16-01</t>
        </is>
      </c>
      <c r="C140" s="10" t="inlineStr">
        <is>
          <t>R16 Superviseur</t>
        </is>
      </c>
      <c r="D140" s="10" t="inlineStr">
        <is>
          <t>Tableau de bord</t>
        </is>
      </c>
      <c r="E140" s="10" t="inlineStr"/>
      <c r="F140" s="10" t="inlineStr">
        <is>
          <t>/supervision : indicateurs, SLA, charge par file</t>
        </is>
      </c>
      <c r="G140" s="10" t="inlineStr">
        <is>
          <t>Chiffres cohérents avec les files</t>
        </is>
      </c>
      <c r="H140" s="11" t="n"/>
      <c r="I140" s="12" t="n"/>
      <c r="J140" s="11" t="n"/>
      <c r="K140" s="11" t="n"/>
      <c r="L140" s="11" t="n"/>
    </row>
    <row r="141">
      <c r="A141" s="10" t="inlineStr">
        <is>
          <t>Parcours rôle</t>
        </is>
      </c>
      <c r="B141" s="10" t="inlineStr">
        <is>
          <t>R16-02</t>
        </is>
      </c>
      <c r="C141" s="10" t="inlineStr">
        <is>
          <t>R16 Superviseur</t>
        </is>
      </c>
      <c r="D141" s="10" t="inlineStr">
        <is>
          <t>Réaffecter</t>
        </is>
      </c>
      <c r="E141" s="10" t="inlineStr"/>
      <c r="F141" s="10" t="inlineStr">
        <is>
          <t>Réaffecter un ticket à un autre agent</t>
        </is>
      </c>
      <c r="G141" s="10" t="inlineStr">
        <is>
          <t>Nouvel agent notifié ; historique</t>
        </is>
      </c>
      <c r="H141" s="11" t="n"/>
      <c r="I141" s="12" t="n"/>
      <c r="J141" s="11" t="n"/>
      <c r="K141" s="11" t="n"/>
      <c r="L141" s="11" t="n"/>
    </row>
    <row r="142">
      <c r="A142" s="10" t="inlineStr">
        <is>
          <t>Parcours rôle</t>
        </is>
      </c>
      <c r="B142" s="10" t="inlineStr">
        <is>
          <t>R16-03</t>
        </is>
      </c>
      <c r="C142" s="10" t="inlineStr">
        <is>
          <t>R16 Superviseur</t>
        </is>
      </c>
      <c r="D142" s="10" t="inlineStr">
        <is>
          <t>Action de masse</t>
        </is>
      </c>
      <c r="E142" s="10" t="inlineStr"/>
      <c r="F142" s="10" t="inlineStr">
        <is>
          <t>Sélectionner plusieurs tickets et les réaffecter</t>
        </is>
      </c>
      <c r="G142" s="10" t="inlineStr">
        <is>
          <t>Tous traités ; trace par ticket</t>
        </is>
      </c>
      <c r="H142" s="11" t="n"/>
      <c r="I142" s="12" t="n"/>
      <c r="J142" s="11" t="n"/>
      <c r="K142" s="11" t="n"/>
      <c r="L142" s="11" t="n"/>
    </row>
    <row r="143">
      <c r="A143" s="10" t="inlineStr">
        <is>
          <t>Parcours rôle</t>
        </is>
      </c>
      <c r="B143" s="10" t="inlineStr">
        <is>
          <t>R16-04</t>
        </is>
      </c>
      <c r="C143" s="10" t="inlineStr">
        <is>
          <t>R16 Superviseur</t>
        </is>
      </c>
      <c r="D143" s="10" t="inlineStr">
        <is>
          <t>Modifier une priorité</t>
        </is>
      </c>
      <c r="E143" s="10" t="inlineStr"/>
      <c r="F143" s="10" t="inlineStr">
        <is>
          <t>Changer la priorité d'un ticket</t>
        </is>
      </c>
      <c r="G143" s="10" t="inlineStr">
        <is>
          <t>Ordre de la file mis à jour</t>
        </is>
      </c>
      <c r="H143" s="11" t="n"/>
      <c r="I143" s="12" t="n"/>
      <c r="J143" s="11" t="n"/>
      <c r="K143" s="11" t="n"/>
      <c r="L143" s="11" t="n"/>
    </row>
    <row r="144">
      <c r="A144" s="10" t="inlineStr">
        <is>
          <t>Parcours rôle</t>
        </is>
      </c>
      <c r="B144" s="10" t="inlineStr">
        <is>
          <t>R16-05</t>
        </is>
      </c>
      <c r="C144" s="10" t="inlineStr">
        <is>
          <t>R16 Superviseur</t>
        </is>
      </c>
      <c r="D144" s="10" t="inlineStr">
        <is>
          <t>Export</t>
        </is>
      </c>
      <c r="E144" s="10" t="inlineStr"/>
      <c r="F144" s="10" t="inlineStr">
        <is>
          <t>Exporter en CSV</t>
        </is>
      </c>
      <c r="G144" s="10" t="inlineStr">
        <is>
          <t>Fichier conforme au périmètre</t>
        </is>
      </c>
      <c r="H144" s="11" t="n"/>
      <c r="I144" s="12" t="n"/>
      <c r="J144" s="11" t="n"/>
      <c r="K144" s="11" t="n"/>
      <c r="L144" s="11" t="n"/>
    </row>
    <row r="145">
      <c r="A145" s="10" t="inlineStr">
        <is>
          <t>Parcours rôle</t>
        </is>
      </c>
      <c r="B145" s="10" t="inlineStr">
        <is>
          <t>R16-06</t>
        </is>
      </c>
      <c r="C145" s="10" t="inlineStr">
        <is>
          <t>R16 Superviseur</t>
        </is>
      </c>
      <c r="D145" s="10" t="inlineStr">
        <is>
          <t>Rafraîchissement temps réel</t>
        </is>
      </c>
      <c r="E145" s="10" t="inlineStr"/>
      <c r="F145" s="10" t="inlineStr">
        <is>
          <t>Ouvrir /supervision dans une fenêtre ; dans une autre, prendre en charge ou réaffecter un ticket</t>
        </is>
      </c>
      <c r="G145" s="10" t="inlineStr">
        <is>
          <t>Le tableau de bord se met à jour seul, sans clic sur Rafraîchir</t>
        </is>
      </c>
      <c r="H145" s="11" t="n"/>
      <c r="I145" s="12" t="n"/>
      <c r="J145" s="11" t="n"/>
      <c r="K145" s="11" t="n"/>
      <c r="L145" s="11" t="n"/>
    </row>
    <row r="146">
      <c r="A146" s="10" t="inlineStr">
        <is>
          <t>Parcours rôle</t>
        </is>
      </c>
      <c r="B146" s="10" t="inlineStr">
        <is>
          <t>R16-07</t>
        </is>
      </c>
      <c r="C146" s="10" t="inlineStr">
        <is>
          <t>R16 Superviseur</t>
        </is>
      </c>
      <c r="D146" s="10" t="inlineStr">
        <is>
          <t>Charge par opérateur complète</t>
        </is>
      </c>
      <c r="E146" s="10" t="inlineStr"/>
      <c r="F146" s="10" t="inlineStr">
        <is>
          <t>/supervision : section « Charge par opérateur »</t>
        </is>
      </c>
      <c r="G146" s="10" t="inlineStr">
        <is>
          <t>Tous les agents qui ont des tickets en cours apparaissent, même s'ils n'ont jamais changé leur disponibilité ; message explicite si personne</t>
        </is>
      </c>
      <c r="H146" s="11" t="n"/>
      <c r="I146" s="12" t="n"/>
      <c r="J146" s="11" t="n"/>
      <c r="K146" s="11" t="n"/>
      <c r="L146" s="11" t="n"/>
    </row>
    <row r="147">
      <c r="A147" s="10" t="inlineStr">
        <is>
          <t>Parcours rôle</t>
        </is>
      </c>
      <c r="B147" s="10" t="inlineStr">
        <is>
          <t>R16-08</t>
        </is>
      </c>
      <c r="C147" s="10" t="inlineStr">
        <is>
          <t>R16 Superviseur</t>
        </is>
      </c>
      <c r="D147" s="10" t="inlineStr">
        <is>
          <t>Files distinguées par module</t>
        </is>
      </c>
      <c r="E147" s="10" t="inlineStr"/>
      <c r="F147" s="10" t="inlineStr">
        <is>
          <t>/supervision : lire les files de même nom (Pilote Manifeste, Facturation)</t>
        </is>
      </c>
      <c r="G147" s="10" t="inlineStr">
        <is>
          <t>Le module (Facturation Import / Export…) est affiché sous chaque nom</t>
        </is>
      </c>
      <c r="H147" s="11" t="n"/>
      <c r="I147" s="12" t="n"/>
      <c r="J147" s="11" t="n"/>
      <c r="K147" s="11" t="n"/>
      <c r="L147" s="11" t="n"/>
    </row>
    <row r="148">
      <c r="A148" s="10" t="inlineStr">
        <is>
          <t>Parcours rôle</t>
        </is>
      </c>
      <c r="B148" s="10" t="inlineStr">
        <is>
          <t>R16-09</t>
        </is>
      </c>
      <c r="C148" s="10" t="inlineStr">
        <is>
          <t>R16 Superviseur</t>
        </is>
      </c>
      <c r="D148" s="10" t="inlineStr">
        <is>
          <t>Menu et accès interdit</t>
        </is>
      </c>
      <c r="E148" s="10" t="inlineStr"/>
      <c r="F148" s="10" t="inlineStr">
        <is>
          <t>Vérifier le menu ; saisir l'URL d'un écran d'un autre profil</t>
        </is>
      </c>
      <c r="G148" s="10" t="inlineStr">
        <is>
          <t>Menu limité au profil ; écran étranger refusé</t>
        </is>
      </c>
      <c r="H148" s="11" t="n"/>
      <c r="I148" s="12" t="n"/>
      <c r="J148" s="11" t="n"/>
      <c r="K148" s="11" t="n"/>
      <c r="L148" s="11" t="n"/>
    </row>
    <row r="149">
      <c r="A149" s="10" t="inlineStr">
        <is>
          <t>Parcours rôle</t>
        </is>
      </c>
      <c r="B149" s="10" t="inlineStr">
        <is>
          <t>R17-01</t>
        </is>
      </c>
      <c r="C149" s="10" t="inlineStr">
        <is>
          <t>R17 Support IT N1 / N2</t>
        </is>
      </c>
      <c r="D149" s="10" t="inlineStr">
        <is>
          <t>File N1</t>
        </is>
      </c>
      <c r="E149" s="10" t="inlineStr"/>
      <c r="F149" s="10" t="inlineStr">
        <is>
          <t>/support/incidents/file : prendre en charge un incident</t>
        </is>
      </c>
      <c r="G149" s="10" t="inlineStr">
        <is>
          <t>Incident affecté ; SLA démarré</t>
        </is>
      </c>
      <c r="H149" s="11" t="n"/>
      <c r="I149" s="12" t="n"/>
      <c r="J149" s="11" t="n"/>
      <c r="K149" s="11" t="n"/>
      <c r="L149" s="11" t="n"/>
    </row>
    <row r="150">
      <c r="A150" s="10" t="inlineStr">
        <is>
          <t>Parcours rôle</t>
        </is>
      </c>
      <c r="B150" s="10" t="inlineStr">
        <is>
          <t>R17-02</t>
        </is>
      </c>
      <c r="C150" s="10" t="inlineStr">
        <is>
          <t>R17 Support IT N1 / N2</t>
        </is>
      </c>
      <c r="D150" s="10" t="inlineStr">
        <is>
          <t>Diagnostiquer</t>
        </is>
      </c>
      <c r="E150" s="10" t="inlineStr"/>
      <c r="F150" s="10" t="inlineStr">
        <is>
          <t>Rechercher le dossier au guichet ; consulter le journal d'audit</t>
        </is>
      </c>
      <c r="G150" s="10" t="inlineStr">
        <is>
          <t>Lecture seule : aucune modification de dossier possible</t>
        </is>
      </c>
      <c r="H150" s="11" t="n"/>
      <c r="I150" s="12" t="n"/>
      <c r="J150" s="11" t="n"/>
      <c r="K150" s="11" t="n"/>
      <c r="L150" s="11" t="n"/>
    </row>
    <row r="151">
      <c r="A151" s="10" t="inlineStr">
        <is>
          <t>Parcours rôle</t>
        </is>
      </c>
      <c r="B151" s="10" t="inlineStr">
        <is>
          <t>R17-03</t>
        </is>
      </c>
      <c r="C151" s="10" t="inlineStr">
        <is>
          <t>R17 Support IT N1 / N2</t>
        </is>
      </c>
      <c r="D151" s="10" t="inlineStr">
        <is>
          <t>Résoudre en N1</t>
        </is>
      </c>
      <c r="E151" s="10" t="inlineStr"/>
      <c r="F151" s="10" t="inlineStr">
        <is>
          <t>Répondre puis résoudre</t>
        </is>
      </c>
      <c r="G151" s="10" t="inlineStr">
        <is>
          <t>Déclarant notifié ; clôture</t>
        </is>
      </c>
      <c r="H151" s="11" t="n"/>
      <c r="I151" s="12" t="n"/>
      <c r="J151" s="11" t="n"/>
      <c r="K151" s="11" t="n"/>
      <c r="L151" s="11" t="n"/>
    </row>
    <row r="152">
      <c r="A152" s="10" t="inlineStr">
        <is>
          <t>Parcours rôle</t>
        </is>
      </c>
      <c r="B152" s="10" t="inlineStr">
        <is>
          <t>R17-04</t>
        </is>
      </c>
      <c r="C152" s="10" t="inlineStr">
        <is>
          <t>R17 Support IT N1 / N2</t>
        </is>
      </c>
      <c r="D152" s="10" t="inlineStr">
        <is>
          <t>Escalader en N2</t>
        </is>
      </c>
      <c r="E152" s="10" t="inlineStr"/>
      <c r="F152" s="10" t="inlineStr">
        <is>
          <t>Escalader avec un motif</t>
        </is>
      </c>
      <c r="G152" s="10" t="inlineStr">
        <is>
          <t>Incident dans la file N2 ; le N1 ne peut plus le traiter</t>
        </is>
      </c>
      <c r="H152" s="11" t="n"/>
      <c r="I152" s="12" t="n"/>
      <c r="J152" s="11" t="n"/>
      <c r="K152" s="11" t="n"/>
      <c r="L152" s="11" t="n"/>
    </row>
    <row r="153">
      <c r="A153" s="10" t="inlineStr">
        <is>
          <t>Parcours rôle</t>
        </is>
      </c>
      <c r="B153" s="10" t="inlineStr">
        <is>
          <t>R17-05</t>
        </is>
      </c>
      <c r="C153" s="10" t="inlineStr">
        <is>
          <t>R17 Support IT N1 / N2</t>
        </is>
      </c>
      <c r="D153" s="10" t="inlineStr">
        <is>
          <t>Résoudre en N2</t>
        </is>
      </c>
      <c r="E153" s="10" t="inlineStr"/>
      <c r="F153" s="10" t="inlineStr">
        <is>
          <t>Compte N2 : reprendre, résoudre, clôturer</t>
        </is>
      </c>
      <c r="G153" s="10" t="inlineStr">
        <is>
          <t>Déclarant notifié</t>
        </is>
      </c>
      <c r="H153" s="11" t="n"/>
      <c r="I153" s="12" t="n"/>
      <c r="J153" s="11" t="n"/>
      <c r="K153" s="11" t="n"/>
      <c r="L153" s="11" t="n"/>
    </row>
    <row r="154">
      <c r="A154" s="10" t="inlineStr">
        <is>
          <t>Parcours rôle</t>
        </is>
      </c>
      <c r="B154" s="10" t="inlineStr">
        <is>
          <t>R17-06</t>
        </is>
      </c>
      <c r="C154" s="10" t="inlineStr">
        <is>
          <t>R17 Support IT N1 / N2</t>
        </is>
      </c>
      <c r="D154" s="10" t="inlineStr">
        <is>
          <t>SLA dépassé</t>
        </is>
      </c>
      <c r="E154" s="10" t="inlineStr"/>
      <c r="F154" s="10" t="inlineStr">
        <is>
          <t>Laisser un incident dépasser son délai</t>
        </is>
      </c>
      <c r="G154" s="10" t="inlineStr">
        <is>
          <t>Alerte ou escalade automatique selon les règles</t>
        </is>
      </c>
      <c r="H154" s="11" t="n"/>
      <c r="I154" s="12" t="n"/>
      <c r="J154" s="11" t="n"/>
      <c r="K154" s="11" t="n"/>
      <c r="L154" s="11" t="n"/>
    </row>
    <row r="155">
      <c r="A155" s="10" t="inlineStr">
        <is>
          <t>Parcours rôle</t>
        </is>
      </c>
      <c r="B155" s="10" t="inlineStr">
        <is>
          <t>R17-07</t>
        </is>
      </c>
      <c r="C155" s="10" t="inlineStr">
        <is>
          <t>R17 Support IT N1 / N2</t>
        </is>
      </c>
      <c r="D155" s="10" t="inlineStr">
        <is>
          <t>Menu et accès interdit</t>
        </is>
      </c>
      <c r="E155" s="10" t="inlineStr"/>
      <c r="F155" s="10" t="inlineStr">
        <is>
          <t>Vérifier le menu ; saisir l'URL d'un écran d'un autre profil</t>
        </is>
      </c>
      <c r="G155" s="10" t="inlineStr">
        <is>
          <t>Menu limité au profil ; écran étranger refusé</t>
        </is>
      </c>
      <c r="H155" s="11" t="n"/>
      <c r="I155" s="12" t="n"/>
      <c r="J155" s="11" t="n"/>
      <c r="K155" s="11" t="n"/>
      <c r="L155" s="11" t="n"/>
    </row>
    <row r="156">
      <c r="A156" s="10" t="inlineStr">
        <is>
          <t>Parcours rôle</t>
        </is>
      </c>
      <c r="B156" s="10" t="inlineStr">
        <is>
          <t>R18-01</t>
        </is>
      </c>
      <c r="C156" s="10" t="inlineStr">
        <is>
          <t>R18 Administrateur fonctionnel</t>
        </is>
      </c>
      <c r="D156" s="10" t="inlineStr">
        <is>
          <t>Valider une demande de compte</t>
        </is>
      </c>
      <c r="E156" s="10" t="inlineStr"/>
      <c r="F156" s="10" t="inlineStr">
        <is>
          <t>/comptes/valider : valider une demande, en rejeter une autre avec motif</t>
        </is>
      </c>
      <c r="G156" s="10" t="inlineStr">
        <is>
          <t>Société créée ; demandeur rejeté notifié</t>
        </is>
      </c>
      <c r="H156" s="11" t="n"/>
      <c r="I156" s="12" t="n"/>
      <c r="J156" s="11" t="n"/>
      <c r="K156" s="11" t="n"/>
      <c r="L156" s="11" t="n"/>
    </row>
    <row r="157">
      <c r="A157" s="10" t="inlineStr">
        <is>
          <t>Parcours rôle</t>
        </is>
      </c>
      <c r="B157" s="10" t="inlineStr">
        <is>
          <t>R18-02</t>
        </is>
      </c>
      <c r="C157" s="10" t="inlineStr">
        <is>
          <t>R18 Administrateur fonctionnel</t>
        </is>
      </c>
      <c r="D157" s="10" t="inlineStr">
        <is>
          <t>Modifier le type client</t>
        </is>
      </c>
      <c r="E157" s="10" t="inlineStr"/>
      <c r="F157" s="10" t="inlineStr">
        <is>
          <t>/comptes/modifier-type</t>
        </is>
      </c>
      <c r="G157" s="10" t="inlineStr">
        <is>
          <t>Changement tracé</t>
        </is>
      </c>
      <c r="H157" s="11" t="n"/>
      <c r="I157" s="12" t="n"/>
      <c r="J157" s="11" t="n"/>
      <c r="K157" s="11" t="n"/>
      <c r="L157" s="11" t="n"/>
    </row>
    <row r="158">
      <c r="A158" s="10" t="inlineStr">
        <is>
          <t>Parcours rôle</t>
        </is>
      </c>
      <c r="B158" s="10" t="inlineStr">
        <is>
          <t>R18-03</t>
        </is>
      </c>
      <c r="C158" s="10" t="inlineStr">
        <is>
          <t>R18 Administrateur fonctionnel</t>
        </is>
      </c>
      <c r="D158" s="10" t="inlineStr">
        <is>
          <t>Comptes agents</t>
        </is>
      </c>
      <c r="E158" s="10" t="inlineStr"/>
      <c r="F158" s="10" t="inlineStr">
        <is>
          <t>/administration/comptes-agents : créer, attribuer des permissions, appliquer le profil Support N1, désactiver</t>
        </is>
      </c>
      <c r="G158" s="10" t="inlineStr">
        <is>
          <t>Droits effectifs à la reconnexion de l'agent</t>
        </is>
      </c>
      <c r="H158" s="11" t="n"/>
      <c r="I158" s="12" t="n"/>
      <c r="J158" s="11" t="n"/>
      <c r="K158" s="11" t="n"/>
      <c r="L158" s="11" t="n"/>
    </row>
    <row r="159">
      <c r="A159" s="10" t="inlineStr">
        <is>
          <t>Parcours rôle</t>
        </is>
      </c>
      <c r="B159" s="10" t="inlineStr">
        <is>
          <t>R18-04</t>
        </is>
      </c>
      <c r="C159" s="10" t="inlineStr">
        <is>
          <t>R18 Administrateur fonctionnel</t>
        </is>
      </c>
      <c r="D159" s="10" t="inlineStr">
        <is>
          <t>SLA et escalade</t>
        </is>
      </c>
      <c r="E159" s="10" t="inlineStr"/>
      <c r="F159" s="10" t="inlineStr">
        <is>
          <t>/administration/parametres-sla et /administration/regles-escalade</t>
        </is>
      </c>
      <c r="G159" s="10" t="inlineStr">
        <is>
          <t>Nouveaux délais appliqués aux nouveaux tickets</t>
        </is>
      </c>
      <c r="H159" s="11" t="n"/>
      <c r="I159" s="12" t="n"/>
      <c r="J159" s="11" t="n"/>
      <c r="K159" s="11" t="n"/>
      <c r="L159" s="11" t="n"/>
    </row>
    <row r="160">
      <c r="A160" s="10" t="inlineStr">
        <is>
          <t>Parcours rôle</t>
        </is>
      </c>
      <c r="B160" s="10" t="inlineStr">
        <is>
          <t>R18-05</t>
        </is>
      </c>
      <c r="C160" s="10" t="inlineStr">
        <is>
          <t>R18 Administrateur fonctionnel</t>
        </is>
      </c>
      <c r="D160" s="10" t="inlineStr">
        <is>
          <t>Files et workflow</t>
        </is>
      </c>
      <c r="E160" s="10" t="inlineStr"/>
      <c r="F160" s="10" t="inlineStr">
        <is>
          <t>strategie-file, matrice-transitions, motifs-transfert, pieces-exigees-etape, regles-priorite-automatique, priorites, etapes-bloquantes-annulation, libelles-statut</t>
        </is>
      </c>
      <c r="G160" s="10" t="inlineStr">
        <is>
          <t>Pris en compte sans redéploiement</t>
        </is>
      </c>
      <c r="H160" s="11" t="n"/>
      <c r="I160" s="12" t="n"/>
      <c r="J160" s="11" t="n"/>
      <c r="K160" s="11" t="n"/>
      <c r="L160" s="11" t="n"/>
    </row>
    <row r="161">
      <c r="A161" s="10" t="inlineStr">
        <is>
          <t>Parcours rôle</t>
        </is>
      </c>
      <c r="B161" s="10" t="inlineStr">
        <is>
          <t>R18-06</t>
        </is>
      </c>
      <c r="C161" s="10" t="inlineStr">
        <is>
          <t>R18 Administrateur fonctionnel</t>
        </is>
      </c>
      <c r="D161" s="10" t="inlineStr">
        <is>
          <t>Référentiels</t>
        </is>
      </c>
      <c r="E161" s="10" t="inlineStr"/>
      <c r="F161" s="10" t="inlineStr">
        <is>
          <t>champs-enrolement, catégories de réclamation, categories-incident, pieces-exigees-compte, competences-operateur, perimetres-supervision, disponibilite</t>
        </is>
      </c>
      <c r="G161" s="10" t="inlineStr">
        <is>
          <t>Valeurs visibles dans les formulaires concernés</t>
        </is>
      </c>
      <c r="H161" s="11" t="n"/>
      <c r="I161" s="12" t="n"/>
      <c r="J161" s="11" t="n"/>
      <c r="K161" s="11" t="n"/>
      <c r="L161" s="11" t="n"/>
    </row>
    <row r="162">
      <c r="A162" s="10" t="inlineStr">
        <is>
          <t>Parcours rôle</t>
        </is>
      </c>
      <c r="B162" s="10" t="inlineStr">
        <is>
          <t>R18-07</t>
        </is>
      </c>
      <c r="C162" s="10" t="inlineStr">
        <is>
          <t>R18 Administrateur fonctionnel</t>
        </is>
      </c>
      <c r="D162" s="10" t="inlineStr">
        <is>
          <t>Tarification</t>
        </is>
      </c>
      <c r="E162" s="10" t="inlineStr"/>
      <c r="F162" s="10" t="inlineStr">
        <is>
          <t>/admin/tarification : nouvelle version de grille avec date d'effet ; /admin/tarification/referentiels</t>
        </is>
      </c>
      <c r="G162" s="10" t="inlineStr">
        <is>
          <t>Les simulations suivantes utilisent la nouvelle grille ; les anciennes sont signalées obsolètes</t>
        </is>
      </c>
      <c r="H162" s="11" t="n"/>
      <c r="I162" s="12" t="n"/>
      <c r="J162" s="11" t="n"/>
      <c r="K162" s="11" t="n"/>
      <c r="L162" s="11" t="n"/>
    </row>
    <row r="163">
      <c r="A163" s="10" t="inlineStr">
        <is>
          <t>Parcours rôle</t>
        </is>
      </c>
      <c r="B163" s="10" t="inlineStr">
        <is>
          <t>R18-08</t>
        </is>
      </c>
      <c r="C163" s="10" t="inlineStr">
        <is>
          <t>R18 Administrateur fonctionnel</t>
        </is>
      </c>
      <c r="D163" s="10" t="inlineStr">
        <is>
          <t>Notifications et assistant</t>
        </is>
      </c>
      <c r="E163" s="10" t="inlineStr"/>
      <c r="F163" s="10" t="inlineStr">
        <is>
          <t>/administration/notifications et /administration/assistant</t>
        </is>
      </c>
      <c r="G163" s="10" t="inlineStr">
        <is>
          <t>Modèles et réponses appliqués</t>
        </is>
      </c>
      <c r="H163" s="11" t="n"/>
      <c r="I163" s="12" t="n"/>
      <c r="J163" s="11" t="n"/>
      <c r="K163" s="11" t="n"/>
      <c r="L163" s="11" t="n"/>
    </row>
    <row r="164">
      <c r="A164" s="10" t="inlineStr">
        <is>
          <t>Parcours rôle</t>
        </is>
      </c>
      <c r="B164" s="10" t="inlineStr">
        <is>
          <t>R18-09</t>
        </is>
      </c>
      <c r="C164" s="10" t="inlineStr">
        <is>
          <t>R18 Administrateur fonctionnel</t>
        </is>
      </c>
      <c r="D164" s="10" t="inlineStr">
        <is>
          <t>Journal d'audit</t>
        </is>
      </c>
      <c r="E164" s="10" t="inlineStr"/>
      <c r="F164" s="10" t="inlineStr">
        <is>
          <t>/administration/audit : filtrer par utilisateur, action, date</t>
        </is>
      </c>
      <c r="G164" s="10" t="inlineStr">
        <is>
          <t>Toutes les actions de la campagne apparaissent, à la seconde, non modifiables</t>
        </is>
      </c>
      <c r="H164" s="11" t="n"/>
      <c r="I164" s="12" t="n"/>
      <c r="J164" s="11" t="n"/>
      <c r="K164" s="11" t="n"/>
      <c r="L164" s="11" t="n"/>
    </row>
    <row r="165">
      <c r="A165" s="10" t="inlineStr">
        <is>
          <t>Parcours rôle</t>
        </is>
      </c>
      <c r="B165" s="10" t="inlineStr">
        <is>
          <t>R18-10</t>
        </is>
      </c>
      <c r="C165" s="10" t="inlineStr">
        <is>
          <t>R18 Administrateur fonctionnel</t>
        </is>
      </c>
      <c r="D165" s="10" t="inlineStr">
        <is>
          <t>Archives</t>
        </is>
      </c>
      <c r="E165" s="10" t="inlineStr"/>
      <c r="F165" s="10" t="inlineStr">
        <is>
          <t>/administration/archives</t>
        </is>
      </c>
      <c r="G165" s="10" t="inlineStr">
        <is>
          <t>Dossiers archivés consultables, date et heure d'archivage</t>
        </is>
      </c>
      <c r="H165" s="11" t="n"/>
      <c r="I165" s="12" t="n"/>
      <c r="J165" s="11" t="n"/>
      <c r="K165" s="11" t="n"/>
      <c r="L165" s="11" t="n"/>
    </row>
    <row r="166">
      <c r="A166" s="10" t="inlineStr">
        <is>
          <t>Parcours rôle</t>
        </is>
      </c>
      <c r="B166" s="10" t="inlineStr">
        <is>
          <t>R18-11</t>
        </is>
      </c>
      <c r="C166" s="10" t="inlineStr">
        <is>
          <t>R18 Administrateur fonctionnel</t>
        </is>
      </c>
      <c r="D166" s="10" t="inlineStr">
        <is>
          <t>Invitation d'un agent</t>
        </is>
      </c>
      <c r="E166" s="10" t="inlineStr"/>
      <c r="F166" s="10" t="inlineStr">
        <is>
          <t>Comptes agents &gt; Nouveau collaborateur : e-mail + nom, « Envoyer l'invitation »</t>
        </is>
      </c>
      <c r="G166" s="10" t="inlineStr">
        <is>
          <t>Aucun mot de passe demandé ; e-mail « Activez votre compte » reçu ; badge « Invitation en attente »</t>
        </is>
      </c>
      <c r="H166" s="11" t="n"/>
      <c r="I166" s="12" t="n"/>
      <c r="J166" s="11" t="n"/>
      <c r="K166" s="11" t="n"/>
      <c r="L166" s="11" t="n"/>
    </row>
    <row r="167">
      <c r="A167" s="10" t="inlineStr">
        <is>
          <t>Parcours rôle</t>
        </is>
      </c>
      <c r="B167" s="10" t="inlineStr">
        <is>
          <t>R18-12</t>
        </is>
      </c>
      <c r="C167" s="10" t="inlineStr">
        <is>
          <t>R18 Administrateur fonctionnel</t>
        </is>
      </c>
      <c r="D167" s="10" t="inlineStr">
        <is>
          <t>Activation par l'agent</t>
        </is>
      </c>
      <c r="E167" s="10" t="inlineStr"/>
      <c r="F167" s="10" t="inlineStr">
        <is>
          <t>L'agent ouvre le lien (&lt; 2 h), choisit son mot de passe, se connecte</t>
        </is>
      </c>
      <c r="G167" s="10" t="inlineStr">
        <is>
          <t>Page « Activez votre compte » ; puis 2FA obligatoire ; le badge « Invitation en attente » disparaît</t>
        </is>
      </c>
      <c r="H167" s="11" t="n"/>
      <c r="I167" s="12" t="n"/>
      <c r="J167" s="11" t="n"/>
      <c r="K167" s="11" t="n"/>
      <c r="L167" s="11" t="n"/>
    </row>
    <row r="168">
      <c r="A168" s="10" t="inlineStr">
        <is>
          <t>Parcours rôle</t>
        </is>
      </c>
      <c r="B168" s="10" t="inlineStr">
        <is>
          <t>R18-13</t>
        </is>
      </c>
      <c r="C168" s="10" t="inlineStr">
        <is>
          <t>R18 Administrateur fonctionnel</t>
        </is>
      </c>
      <c r="D168" s="10" t="inlineStr">
        <is>
          <t>Renvoyer l'invitation</t>
        </is>
      </c>
      <c r="E168" s="10" t="inlineStr"/>
      <c r="F168" s="10" t="inlineStr">
        <is>
          <t>Sur un agent en attente : « Renvoyer l'invitation »</t>
        </is>
      </c>
      <c r="G168" s="10" t="inlineStr">
        <is>
          <t>Nouveau lien reçu ; action visible au journal d'audit (InvitationAgentRenvoyee)</t>
        </is>
      </c>
      <c r="H168" s="11" t="n"/>
      <c r="I168" s="12" t="n"/>
      <c r="J168" s="11" t="n"/>
      <c r="K168" s="11" t="n"/>
      <c r="L168" s="11" t="n"/>
    </row>
    <row r="169">
      <c r="A169" s="10" t="inlineStr">
        <is>
          <t>Parcours rôle</t>
        </is>
      </c>
      <c r="B169" s="10" t="inlineStr">
        <is>
          <t>R18-14</t>
        </is>
      </c>
      <c r="C169" s="10" t="inlineStr">
        <is>
          <t>R18 Administrateur fonctionnel</t>
        </is>
      </c>
      <c r="D169" s="10" t="inlineStr">
        <is>
          <t>Correction de l'identité d'une société</t>
        </is>
      </c>
      <c r="E169" s="10" t="inlineStr"/>
      <c r="F169" s="10" t="inlineStr">
        <is>
          <t>Modifier le type de client &gt; Identité : corriger raison sociale / RCCM ; tester un RCCM déjà pris</t>
        </is>
      </c>
      <c r="G169" s="10" t="inlineStr">
        <is>
          <t>Mise à jour tracée à l'audit (avant/après) ; RCCM déjà pris refusé ; alerte si RCCM manquant</t>
        </is>
      </c>
      <c r="H169" s="11" t="n"/>
      <c r="I169" s="12" t="n"/>
      <c r="J169" s="11" t="n"/>
      <c r="K169" s="11" t="n"/>
      <c r="L169" s="11" t="n"/>
    </row>
    <row r="170">
      <c r="A170" s="10" t="inlineStr">
        <is>
          <t>Parcours rôle</t>
        </is>
      </c>
      <c r="B170" s="10" t="inlineStr">
        <is>
          <t>R18-15</t>
        </is>
      </c>
      <c r="C170" s="10" t="inlineStr">
        <is>
          <t>R18 Administrateur fonctionnel</t>
        </is>
      </c>
      <c r="D170" s="10" t="inlineStr">
        <is>
          <t>Liste des sociétés par nom</t>
        </is>
      </c>
      <c r="E170" s="10" t="inlineStr"/>
      <c r="F170" s="10" t="inlineStr">
        <is>
          <t>Modifier le type de client : ouvrir la liste des sociétés</t>
        </is>
      </c>
      <c r="G170" s="10" t="inlineStr">
        <is>
          <t>Noms seuls, triés ; RCCM de la société choisie affiché dessous</t>
        </is>
      </c>
      <c r="H170" s="11" t="n"/>
      <c r="I170" s="12" t="n"/>
      <c r="J170" s="11" t="n"/>
      <c r="K170" s="11" t="n"/>
      <c r="L170" s="11" t="n"/>
    </row>
    <row r="171">
      <c r="A171" s="10" t="inlineStr">
        <is>
          <t>Parcours rôle</t>
        </is>
      </c>
      <c r="B171" s="10" t="inlineStr">
        <is>
          <t>R18-16</t>
        </is>
      </c>
      <c r="C171" s="10" t="inlineStr">
        <is>
          <t>R18 Administrateur fonctionnel</t>
        </is>
      </c>
      <c r="D171" s="10" t="inlineStr">
        <is>
          <t>Réinitialiser la 2FA d'un agent</t>
        </is>
      </c>
      <c r="E171" s="10" t="inlineStr"/>
      <c r="F171" s="10" t="inlineStr">
        <is>
          <t>Comptes agents : « Réinitialiser la 2FA » sur un autre agent ; confirmer</t>
        </is>
      </c>
      <c r="G171" s="10" t="inlineStr">
        <is>
          <t>2FA désactivée et sessions de l'agent fermées ; à sa connexion suivante, il doit reconfigurer sa 2FA ; action au journal d'audit</t>
        </is>
      </c>
      <c r="H171" s="11" t="n"/>
      <c r="I171" s="12" t="n"/>
      <c r="J171" s="11" t="n"/>
      <c r="K171" s="11" t="n"/>
      <c r="L171" s="11" t="n"/>
    </row>
    <row r="172">
      <c r="A172" s="10" t="inlineStr">
        <is>
          <t>Parcours rôle</t>
        </is>
      </c>
      <c r="B172" s="10" t="inlineStr">
        <is>
          <t>R18-17</t>
        </is>
      </c>
      <c r="C172" s="10" t="inlineStr">
        <is>
          <t>R18 Administrateur fonctionnel</t>
        </is>
      </c>
      <c r="D172" s="10" t="inlineStr">
        <is>
          <t>Pas d'auto-réinitialisation</t>
        </is>
      </c>
      <c r="E172" s="10" t="inlineStr"/>
      <c r="F172" s="10" t="inlineStr">
        <is>
          <t>Chercher le bouton « Réinitialiser la 2FA » sur sa propre ligne</t>
        </is>
      </c>
      <c r="G172" s="10" t="inlineStr">
        <is>
          <t>Absent pour son propre compte (il faut un autre administrateur)</t>
        </is>
      </c>
      <c r="H172" s="11" t="n"/>
      <c r="I172" s="12" t="n"/>
      <c r="J172" s="11" t="n"/>
      <c r="K172" s="11" t="n"/>
      <c r="L172" s="11" t="n"/>
    </row>
    <row r="173">
      <c r="A173" s="10" t="inlineStr">
        <is>
          <t>Parcours rôle</t>
        </is>
      </c>
      <c r="B173" s="10" t="inlineStr">
        <is>
          <t>R18-18</t>
        </is>
      </c>
      <c r="C173" s="10" t="inlineStr">
        <is>
          <t>R18 Administrateur fonctionnel</t>
        </is>
      </c>
      <c r="D173" s="10" t="inlineStr">
        <is>
          <t>Annuaire de tous les comptes</t>
        </is>
      </c>
      <c r="E173" s="10" t="inlineStr"/>
      <c r="F173" s="10" t="inlineStr">
        <is>
          <t>Administration CIT &gt; Comptes utilisateurs : onglets Agents / Clients / Transporteurs / Demandes en cours, filtre</t>
        </is>
      </c>
      <c r="G173" s="10" t="inlineStr">
        <is>
          <t>Tous les comptes visibles et bien classés, avec société, état et 2FA ; désactivation confirmée et réactivation possibles ; 2FA réinitialisable pour un client ou un transporteur</t>
        </is>
      </c>
      <c r="H173" s="11" t="n"/>
      <c r="I173" s="12" t="n"/>
      <c r="J173" s="11" t="n"/>
      <c r="K173" s="11" t="n"/>
      <c r="L173" s="11" t="n"/>
    </row>
    <row r="174">
      <c r="A174" s="10" t="inlineStr">
        <is>
          <t>Parcours rôle</t>
        </is>
      </c>
      <c r="B174" s="10" t="inlineStr">
        <is>
          <t>R18-19</t>
        </is>
      </c>
      <c r="C174" s="10" t="inlineStr">
        <is>
          <t>R18 Administrateur fonctionnel</t>
        </is>
      </c>
      <c r="D174" s="10" t="inlineStr">
        <is>
          <t>Référentiels métier</t>
        </is>
      </c>
      <c r="E174" s="10" t="inlineStr"/>
      <c r="F174" s="10" t="inlineStr">
        <is>
          <t>/administration/referentiels : pour une gravité d'incident, changer le libellé FR/EN et l'ordre ; désactiver une valeur ; tenter de désactiver la dernière valeur active</t>
        </is>
      </c>
      <c r="G174" s="10" t="inlineStr">
        <is>
          <t>Nouveau libellé visible dans Signaler un problème et la file Support IT ; valeur désactivée plus proposée (les tickets existants la gardent) ; dernière valeur active refusée ; modifications au journal d'audit</t>
        </is>
      </c>
      <c r="H174" s="11" t="n"/>
      <c r="I174" s="12" t="n"/>
      <c r="J174" s="11" t="n"/>
      <c r="K174" s="11" t="n"/>
      <c r="L174" s="11" t="n"/>
    </row>
    <row r="175">
      <c r="A175" s="10" t="inlineStr">
        <is>
          <t>Parcours rôle</t>
        </is>
      </c>
      <c r="B175" s="10" t="inlineStr">
        <is>
          <t>R18-20</t>
        </is>
      </c>
      <c r="C175" s="10" t="inlineStr">
        <is>
          <t>R18 Administrateur fonctionnel</t>
        </is>
      </c>
      <c r="D175" s="10" t="inlineStr">
        <is>
          <t>Fiches d'aide</t>
        </is>
      </c>
      <c r="E175" s="10" t="inlineStr"/>
      <c r="F175" s="10" t="inlineStr">
        <is>
          <t>/administration/aide : modifier une fiche (aperçu pendant la saisie), en créer une pour un écran sans fiche, créer une seconde fiche pour le même écran, désactiver une fiche</t>
        </is>
      </c>
      <c r="G175" s="10" t="inlineStr">
        <is>
          <t>Modification visible via « ? » sur l'écran ; seconde fiche pour le même écran refusée ; fiche désactivée plus affichée ; chaque enregistrement au journal d'audit</t>
        </is>
      </c>
      <c r="H175" s="11" t="n"/>
      <c r="I175" s="12" t="n"/>
      <c r="J175" s="11" t="n"/>
      <c r="K175" s="11" t="n"/>
      <c r="L175" s="11" t="n"/>
    </row>
    <row r="176">
      <c r="A176" s="10" t="inlineStr">
        <is>
          <t>Parcours rôle</t>
        </is>
      </c>
      <c r="B176" s="10" t="inlineStr">
        <is>
          <t>R18-21</t>
        </is>
      </c>
      <c r="C176" s="10" t="inlineStr">
        <is>
          <t>R18 Administrateur fonctionnel</t>
        </is>
      </c>
      <c r="D176" s="10" t="inlineStr">
        <is>
          <t>Type de client des règles de priorité</t>
        </is>
      </c>
      <c r="E176" s="10" t="inlineStr"/>
      <c r="F176" s="10" t="inlineStr">
        <is>
          <t>/administration/regles-priorite-automatique : créer une règle avec un type de client</t>
        </is>
      </c>
      <c r="G176" s="10" t="inlineStr">
        <is>
          <t>Le type se choisit dans une liste (référentiel des types de client) ; libellé affiché dans le tableau des règles</t>
        </is>
      </c>
      <c r="H176" s="11" t="n"/>
      <c r="I176" s="12" t="n"/>
      <c r="J176" s="11" t="n"/>
      <c r="K176" s="11" t="n"/>
      <c r="L176" s="11" t="n"/>
    </row>
    <row r="177">
      <c r="A177" s="10" t="inlineStr">
        <is>
          <t>Parcours rôle</t>
        </is>
      </c>
      <c r="B177" s="10" t="inlineStr">
        <is>
          <t>R18-22</t>
        </is>
      </c>
      <c r="C177" s="10" t="inlineStr">
        <is>
          <t>R18 Administrateur fonctionnel</t>
        </is>
      </c>
      <c r="D177" s="10" t="inlineStr">
        <is>
          <t>Valider une entreprise de transport</t>
        </is>
      </c>
      <c r="E177" s="10" t="inlineStr"/>
      <c r="F177" s="10" t="inlineStr">
        <is>
          <t>/comptes/valider : ouvrir une demande de profil Transporteur, vérifier l'agrément, valider</t>
        </is>
      </c>
      <c r="G177" s="10" t="inlineStr">
        <is>
          <t>Société de type Transporteur créée ; e-mail « compte activé » reçu par le demandeur</t>
        </is>
      </c>
      <c r="H177" s="11" t="n"/>
      <c r="I177" s="12" t="n"/>
      <c r="J177" s="11" t="n"/>
      <c r="K177" s="11" t="n"/>
      <c r="L177" s="11" t="n"/>
    </row>
    <row r="178">
      <c r="A178" s="10" t="inlineStr">
        <is>
          <t>Parcours rôle</t>
        </is>
      </c>
      <c r="B178" s="10" t="inlineStr">
        <is>
          <t>R18-23</t>
        </is>
      </c>
      <c r="C178" s="10" t="inlineStr">
        <is>
          <t>R18 Administrateur fonctionnel</t>
        </is>
      </c>
      <c r="D178" s="10" t="inlineStr">
        <is>
          <t>Pièce réservée à un type de compte</t>
        </is>
      </c>
      <c r="E178" s="10" t="inlineStr"/>
      <c r="F178" s="10" t="inlineStr">
        <is>
          <t>/administration/pieces-exigees-compte : créer une pièce obligatoire avec « Type de compte » = Transporteur</t>
        </is>
      </c>
      <c r="G178" s="10" t="inlineStr">
        <is>
          <t>Badge « Transporteur » dans la liste ; la pièce n'est demandée — et bloquante — que pour les demandes Transporteur</t>
        </is>
      </c>
      <c r="H178" s="11" t="n"/>
      <c r="I178" s="12" t="n"/>
      <c r="J178" s="11" t="n"/>
      <c r="K178" s="11" t="n"/>
      <c r="L178" s="11" t="n"/>
    </row>
    <row r="179">
      <c r="A179" s="10" t="inlineStr">
        <is>
          <t>Parcours rôle</t>
        </is>
      </c>
      <c r="B179" s="10" t="inlineStr">
        <is>
          <t>R18-24</t>
        </is>
      </c>
      <c r="C179" s="10" t="inlineStr">
        <is>
          <t>R18 Administrateur fonctionnel</t>
        </is>
      </c>
      <c r="D179" s="10" t="inlineStr">
        <is>
          <t>Validation des comptes lisible</t>
        </is>
      </c>
      <c r="E179" s="10" t="inlineStr"/>
      <c r="F179" s="10" t="inlineStr">
        <is>
          <t>/comptes/valider : lire les pièces et la liste « Profil déclaré »</t>
        </is>
      </c>
      <c r="G179" s="10" t="inlineStr">
        <is>
          <t>Libellés des pièces (« Pièce d'identité du représentant légal… »), pas de codes ; profils « Normal, En compte, Deposit, IES, Transporteur » ; aucun identifiant technique affiché</t>
        </is>
      </c>
      <c r="H179" s="11" t="n"/>
      <c r="I179" s="12" t="n"/>
      <c r="J179" s="11" t="n"/>
      <c r="K179" s="11" t="n"/>
      <c r="L179" s="11" t="n"/>
    </row>
    <row r="180">
      <c r="A180" s="10" t="inlineStr">
        <is>
          <t>Parcours rôle</t>
        </is>
      </c>
      <c r="B180" s="10" t="inlineStr">
        <is>
          <t>R18-25</t>
        </is>
      </c>
      <c r="C180" s="10" t="inlineStr">
        <is>
          <t>R18 Administrateur fonctionnel</t>
        </is>
      </c>
      <c r="D180" s="10" t="inlineStr">
        <is>
          <t>Libellés des notifications et de l'audit</t>
        </is>
      </c>
      <c r="E180" s="10" t="inlineStr"/>
      <c r="F180" s="10" t="inlineStr">
        <is>
          <t>/administration/notifications puis /administration/audit</t>
        </is>
      </c>
      <c r="G180" s="10" t="inlineStr">
        <is>
          <t>Événements et canaux en clair (« Dans l'application », « E-mail »), le code reste en petit dessous ; actions d'audit en clair (« Connexion réussie »)</t>
        </is>
      </c>
      <c r="H180" s="11" t="n"/>
      <c r="I180" s="12" t="n"/>
      <c r="J180" s="11" t="n"/>
      <c r="K180" s="11" t="n"/>
      <c r="L180" s="11" t="n"/>
    </row>
    <row r="181">
      <c r="A181" s="10" t="inlineStr">
        <is>
          <t>Parcours rôle</t>
        </is>
      </c>
      <c r="B181" s="10" t="inlineStr">
        <is>
          <t>R18-26</t>
        </is>
      </c>
      <c r="C181" s="10" t="inlineStr">
        <is>
          <t>R18 Administrateur fonctionnel</t>
        </is>
      </c>
      <c r="D181" s="10" t="inlineStr">
        <is>
          <t>Paramètres de la plateforme</t>
        </is>
      </c>
      <c r="E181" s="10" t="inlineStr"/>
      <c r="F181" s="10" t="inlineStr">
        <is>
          <t>/administration/parametres-plateforme : passer « BL par demande d'import » à 4 ; enregistrer ; ouvrir le formulaire d'import d'un client ; remettre 5 ; essayer 0 puis 25</t>
        </is>
      </c>
      <c r="G181" s="10" t="inlineStr">
        <is>
          <t>Message « … enregistré » ; le client voit « 0 / 4 BL saisis » ; valeur hors bornes refusée avec un message clair ; chaque changement tracé dans le journal d'audit (« … = 5 → 4 »)</t>
        </is>
      </c>
      <c r="H181" s="11" t="n"/>
      <c r="I181" s="12" t="n"/>
      <c r="J181" s="11" t="n"/>
      <c r="K181" s="11" t="n"/>
      <c r="L181" s="11" t="n"/>
    </row>
    <row r="182">
      <c r="A182" s="10" t="inlineStr">
        <is>
          <t>Parcours rôle</t>
        </is>
      </c>
      <c r="B182" s="10" t="inlineStr">
        <is>
          <t>R18-27</t>
        </is>
      </c>
      <c r="C182" s="10" t="inlineStr">
        <is>
          <t>R18 Administrateur fonctionnel</t>
        </is>
      </c>
      <c r="D182" s="10" t="inlineStr">
        <is>
          <t>Durées de conservation</t>
        </is>
      </c>
      <c r="E182" s="10" t="inlineStr"/>
      <c r="F182" s="10" t="inlineStr">
        <is>
          <t>Même écran : lire les durées (brouillons 30 j, dossiers 5 ans, comptable 10 ans, audit 3 ans) ; modifier puis rétablir une valeur</t>
        </is>
      </c>
      <c r="G182" s="10" t="inlineStr">
        <is>
          <t>Valeurs de départ affichées, modification tracée, valeur « Par défaut » rappelée sur chaque ligne</t>
        </is>
      </c>
      <c r="H182" s="11" t="n"/>
      <c r="I182" s="12" t="n"/>
      <c r="J182" s="11" t="n"/>
      <c r="K182" s="11" t="n"/>
      <c r="L182" s="11" t="n"/>
    </row>
    <row r="183">
      <c r="A183" s="10" t="inlineStr">
        <is>
          <t>Parcours rôle</t>
        </is>
      </c>
      <c r="B183" s="10" t="inlineStr">
        <is>
          <t>R18-28</t>
        </is>
      </c>
      <c r="C183" s="10" t="inlineStr">
        <is>
          <t>R18 Administrateur fonctionnel</t>
        </is>
      </c>
      <c r="D183" s="10" t="inlineStr">
        <is>
          <t>Disponibilité de la plateforme</t>
        </is>
      </c>
      <c r="E183" s="10" t="inlineStr"/>
      <c r="F183" s="10" t="inlineStr">
        <is>
          <t>/administration/disponibilite-plateforme : choisir la période ; lire les deux taux</t>
        </is>
      </c>
      <c r="G183" s="10" t="inlineStr">
        <is>
          <t>Taux 24 h/24 (NFR-10) et en heures ouvrées (NFR-03), objectif 99 % avec « Objectif atteint / Sous l'objectif » ; « Pas encore mesuré » hors heures ouvrées sans mesure ; interruptions listées</t>
        </is>
      </c>
      <c r="H183" s="11" t="n"/>
      <c r="I183" s="12" t="n"/>
      <c r="J183" s="11" t="n"/>
      <c r="K183" s="11" t="n"/>
      <c r="L183" s="11" t="n"/>
    </row>
    <row r="184">
      <c r="A184" s="10" t="inlineStr">
        <is>
          <t>Parcours rôle</t>
        </is>
      </c>
      <c r="B184" s="10" t="inlineStr">
        <is>
          <t>R18-29</t>
        </is>
      </c>
      <c r="C184" s="10" t="inlineStr">
        <is>
          <t>R18 Administrateur fonctionnel</t>
        </is>
      </c>
      <c r="D184" s="10" t="inlineStr">
        <is>
          <t>Déclarer une maintenance planifiée</t>
        </is>
      </c>
      <c r="E184" s="10" t="inlineStr"/>
      <c r="F184" s="10" t="inlineStr">
        <is>
          <t>Même écran : saisir début, fin et motif ; « Déclarer » ; puis « Annuler »</t>
        </is>
      </c>
      <c r="G184" s="10" t="inlineStr">
        <is>
          <t>Maintenance listée puis retirée ; la période déclarée n'est pas comptée comme indisponibilité ; déclaration et annulation tracées dans l'audit</t>
        </is>
      </c>
      <c r="H184" s="11" t="n"/>
      <c r="I184" s="12" t="n"/>
      <c r="J184" s="11" t="n"/>
      <c r="K184" s="11" t="n"/>
      <c r="L184" s="11" t="n"/>
    </row>
    <row r="185">
      <c r="A185" s="10" t="inlineStr">
        <is>
          <t>Parcours rôle</t>
        </is>
      </c>
      <c r="B185" s="10" t="inlineStr">
        <is>
          <t>R18-30</t>
        </is>
      </c>
      <c r="C185" s="10" t="inlineStr">
        <is>
          <t>R18 Administrateur fonctionnel</t>
        </is>
      </c>
      <c r="D185" s="10" t="inlineStr">
        <is>
          <t>Modèles de notification bilingues</t>
        </is>
      </c>
      <c r="E185" s="10" t="inlineStr"/>
      <c r="F185" s="10" t="inlineStr">
        <is>
          <t>/administration/notifications : liste des modèles</t>
        </is>
      </c>
      <c r="G185" s="10" t="inlineStr">
        <is>
          <t>Sous chaque titre français, la version anglaise (« EN · … ») pour les modèles de départ</t>
        </is>
      </c>
      <c r="H185" s="11" t="n"/>
      <c r="I185" s="12" t="n"/>
      <c r="J185" s="11" t="n"/>
      <c r="K185" s="11" t="n"/>
      <c r="L185" s="11" t="n"/>
    </row>
    <row r="186">
      <c r="A186" s="10" t="inlineStr">
        <is>
          <t>Parcours rôle</t>
        </is>
      </c>
      <c r="B186" s="10" t="inlineStr">
        <is>
          <t>R18-31</t>
        </is>
      </c>
      <c r="C186" s="10" t="inlineStr">
        <is>
          <t>R18 Administrateur fonctionnel</t>
        </is>
      </c>
      <c r="D186" s="10" t="inlineStr">
        <is>
          <t>Menu et accès interdit</t>
        </is>
      </c>
      <c r="E186" s="10" t="inlineStr"/>
      <c r="F186" s="10" t="inlineStr">
        <is>
          <t>Vérifier le menu ; saisir l'URL d'un écran d'un autre profil</t>
        </is>
      </c>
      <c r="G186" s="10" t="inlineStr">
        <is>
          <t>Menu limité au profil ; écran étranger refusé</t>
        </is>
      </c>
      <c r="H186" s="11" t="n"/>
      <c r="I186" s="12" t="n"/>
      <c r="J186" s="11" t="n"/>
      <c r="K186" s="11" t="n"/>
      <c r="L186" s="11" t="n"/>
    </row>
    <row r="187">
      <c r="A187" s="10" t="inlineStr">
        <is>
          <t>Parcours rôle</t>
        </is>
      </c>
      <c r="B187" s="10" t="inlineStr">
        <is>
          <t>R19-01</t>
        </is>
      </c>
      <c r="C187" s="10" t="inlineStr">
        <is>
          <t>R19 Super administrateur</t>
        </is>
      </c>
      <c r="D187" s="10" t="inlineStr">
        <is>
          <t>Changement d'espace</t>
        </is>
      </c>
      <c r="E187" s="10" t="inlineStr"/>
      <c r="F187" s="10" t="inlineStr">
        <is>
          <t>Sélecteur d'espace en haut du menu : Opérateur, Supervision, Administration…</t>
        </is>
      </c>
      <c r="G187" s="10" t="inlineStr">
        <is>
          <t>Menu filtré selon l'espace choisi</t>
        </is>
      </c>
      <c r="H187" s="11" t="n"/>
      <c r="I187" s="12" t="n"/>
      <c r="J187" s="11" t="n"/>
      <c r="K187" s="11" t="n"/>
      <c r="L187" s="11" t="n"/>
    </row>
    <row r="188">
      <c r="A188" s="10" t="inlineStr">
        <is>
          <t>Parcours rôle</t>
        </is>
      </c>
      <c r="B188" s="10" t="inlineStr">
        <is>
          <t>R19-02</t>
        </is>
      </c>
      <c r="C188" s="10" t="inlineStr">
        <is>
          <t>R19 Super administrateur</t>
        </is>
      </c>
      <c r="D188" s="10" t="inlineStr">
        <is>
          <t>Couverture N1 + N2</t>
        </is>
      </c>
      <c r="E188" s="10" t="inlineStr"/>
      <c r="F188" s="10" t="inlineStr">
        <is>
          <t>Traiter un incident N1 puis un incident N2</t>
        </is>
      </c>
      <c r="G188" s="10" t="inlineStr">
        <is>
          <t>Autorisé aux deux niveaux</t>
        </is>
      </c>
      <c r="H188" s="11" t="n"/>
      <c r="I188" s="12" t="n"/>
      <c r="J188" s="11" t="n"/>
      <c r="K188" s="11" t="n"/>
      <c r="L188" s="11" t="n"/>
    </row>
    <row r="189">
      <c r="A189" s="10" t="inlineStr">
        <is>
          <t>Parcours rôle</t>
        </is>
      </c>
      <c r="B189" s="10" t="inlineStr">
        <is>
          <t>R19-03</t>
        </is>
      </c>
      <c r="C189" s="10" t="inlineStr">
        <is>
          <t>R19 Super administrateur</t>
        </is>
      </c>
      <c r="D189" s="10" t="inlineStr">
        <is>
          <t>Dérogation au workflow</t>
        </is>
      </c>
      <c r="E189" s="10" t="inlineStr"/>
      <c r="F189" s="10" t="inlineStr">
        <is>
          <t>Déroger avec un motif sur un ticket</t>
        </is>
      </c>
      <c r="G189" s="10" t="inlineStr">
        <is>
          <t>Dérogation tracée au journal d'audit</t>
        </is>
      </c>
      <c r="H189" s="11" t="n"/>
      <c r="I189" s="12" t="n"/>
      <c r="J189" s="11" t="n"/>
      <c r="K189" s="11" t="n"/>
      <c r="L189" s="11" t="n"/>
    </row>
    <row r="190">
      <c r="A190" s="10" t="inlineStr">
        <is>
          <t>Parcours rôle</t>
        </is>
      </c>
      <c r="B190" s="10" t="inlineStr">
        <is>
          <t>R19-04</t>
        </is>
      </c>
      <c r="C190" s="10" t="inlineStr">
        <is>
          <t>R19 Super administrateur</t>
        </is>
      </c>
      <c r="D190" s="10" t="inlineStr">
        <is>
          <t>Espace affiché du super-admin</t>
        </is>
      </c>
      <c r="E190" s="10" t="inlineStr"/>
      <c r="F190" s="10" t="inlineStr">
        <is>
          <t>Se connecter en super-admin ; basculer entre les espaces</t>
        </is>
      </c>
      <c r="G190" s="10" t="inlineStr">
        <is>
          <t>Jamais « Espace Transporteur » ; la pastille affiche l'espace réellement actif</t>
        </is>
      </c>
      <c r="H190" s="11" t="n"/>
      <c r="I190" s="12" t="n"/>
      <c r="J190" s="11" t="n"/>
      <c r="K190" s="11" t="n"/>
      <c r="L190" s="11" t="n"/>
    </row>
    <row r="191">
      <c r="A191" s="10" t="inlineStr">
        <is>
          <t>Parcours rôle</t>
        </is>
      </c>
      <c r="B191" s="10" t="inlineStr">
        <is>
          <t>R19-05</t>
        </is>
      </c>
      <c r="C191" s="10" t="inlineStr">
        <is>
          <t>R19 Super administrateur</t>
        </is>
      </c>
      <c r="D191" s="10" t="inlineStr">
        <is>
          <t>Compteur super-administrateurs</t>
        </is>
      </c>
      <c r="E191" s="10" t="inlineStr"/>
      <c r="F191" s="10" t="inlineStr">
        <is>
          <t>Comptes agents : lire la carte « Super-Administrateurs »</t>
        </is>
      </c>
      <c r="G191" s="10" t="inlineStr">
        <is>
          <t>Au moins 1 ; le super-admin détient toutes les permissions, y compris les plus récentes</t>
        </is>
      </c>
      <c r="H191" s="11" t="n"/>
      <c r="I191" s="12" t="n"/>
      <c r="J191" s="11" t="n"/>
      <c r="K191" s="11" t="n"/>
      <c r="L191" s="11" t="n"/>
    </row>
    <row r="192">
      <c r="A192" s="10" t="inlineStr">
        <is>
          <t>Parcours rôle</t>
        </is>
      </c>
      <c r="B192" s="10" t="inlineStr">
        <is>
          <t>R19-06</t>
        </is>
      </c>
      <c r="C192" s="10" t="inlineStr">
        <is>
          <t>R19 Super administrateur</t>
        </is>
      </c>
      <c r="D192" s="10" t="inlineStr">
        <is>
          <t>Menu et accès interdit</t>
        </is>
      </c>
      <c r="E192" s="10" t="inlineStr"/>
      <c r="F192" s="10" t="inlineStr">
        <is>
          <t>Vérifier le menu ; saisir l'URL d'un écran d'un autre profil</t>
        </is>
      </c>
      <c r="G192" s="10" t="inlineStr">
        <is>
          <t>Menu limité au profil ; écran étranger refusé</t>
        </is>
      </c>
      <c r="H192" s="11" t="n"/>
      <c r="I192" s="12" t="n"/>
      <c r="J192" s="11" t="n"/>
      <c r="K192" s="11" t="n"/>
      <c r="L192" s="11" t="n"/>
    </row>
    <row r="193">
      <c r="A193" s="10" t="inlineStr">
        <is>
          <t>Bout en bout</t>
        </is>
      </c>
      <c r="B193" s="10" t="inlineStr">
        <is>
          <t>E2E-01</t>
        </is>
      </c>
      <c r="C193" s="10" t="inlineStr">
        <is>
          <t>Plusieurs</t>
        </is>
      </c>
      <c r="D193" s="10" t="inlineStr">
        <is>
          <t>Import complet (client Normal)</t>
        </is>
      </c>
      <c r="E193" s="10" t="inlineStr"/>
      <c r="F193" s="10" t="inlineStr">
        <is>
          <t>R02 soumet → R05 Manifeste → R07 Facturation → R02 dépose la preuve de paiement → R08 Paiement → R06 Contrôle doc (clôture) → R02 consulte le dossier clôturé</t>
        </is>
      </c>
      <c r="G193" s="10" t="inlineStr">
        <is>
          <t>Chaque passage notifié, horodaté, visible dans la chronologie client et le journal d'audit ; SLA respecté</t>
        </is>
      </c>
      <c r="H193" s="11" t="n"/>
      <c r="I193" s="12" t="n"/>
      <c r="J193" s="11" t="n"/>
      <c r="K193" s="11" t="n"/>
      <c r="L193" s="11" t="n"/>
    </row>
    <row r="194">
      <c r="A194" s="10" t="inlineStr">
        <is>
          <t>Bout en bout</t>
        </is>
      </c>
      <c r="B194" s="10" t="inlineStr">
        <is>
          <t>E2E-02</t>
        </is>
      </c>
      <c r="C194" s="10" t="inlineStr">
        <is>
          <t>Plusieurs</t>
        </is>
      </c>
      <c r="D194" s="10" t="inlineStr">
        <is>
          <t>Export complet (client Normal)</t>
        </is>
      </c>
      <c r="E194" s="10" t="inlineStr"/>
      <c r="F194" s="10" t="inlineStr">
        <is>
          <t>R02 soumet → R11 Back Office → R07 Facturation → R02 dépose la preuve de paiement → R08 Paiement → R06 Contrôle doc (clôture)</t>
        </is>
      </c>
      <c r="G194" s="10" t="inlineStr">
        <is>
          <t>Mêmes attendus que l'Import</t>
        </is>
      </c>
      <c r="H194" s="11" t="n"/>
      <c r="I194" s="12" t="n"/>
      <c r="J194" s="11" t="n"/>
      <c r="K194" s="11" t="n"/>
      <c r="L194" s="11" t="n"/>
    </row>
    <row r="195">
      <c r="A195" s="10" t="inlineStr">
        <is>
          <t>Bout en bout</t>
        </is>
      </c>
      <c r="B195" s="10" t="inlineStr">
        <is>
          <t>E2E-03</t>
        </is>
      </c>
      <c r="C195" s="10" t="inlineStr">
        <is>
          <t>Plusieurs</t>
        </is>
      </c>
      <c r="D195" s="10" t="inlineStr">
        <is>
          <t>Complément client</t>
        </is>
      </c>
      <c r="E195" s="10" t="inlineStr"/>
      <c r="F195" s="10" t="inlineStr">
        <is>
          <t>R05 demande un complément → R02 répond avec une pièce → R05 reprend</t>
        </is>
      </c>
      <c r="G195" s="10" t="inlineStr">
        <is>
          <t>SLA suspendu puis repris ; pièce visible en aperçu</t>
        </is>
      </c>
      <c r="H195" s="11" t="n"/>
      <c r="I195" s="12" t="n"/>
      <c r="J195" s="11" t="n"/>
      <c r="K195" s="11" t="n"/>
      <c r="L195" s="11" t="n"/>
    </row>
    <row r="196">
      <c r="A196" s="10" t="inlineStr">
        <is>
          <t>Bout en bout</t>
        </is>
      </c>
      <c r="B196" s="10" t="inlineStr">
        <is>
          <t>E2E-04</t>
        </is>
      </c>
      <c r="C196" s="10" t="inlineStr">
        <is>
          <t>Plusieurs</t>
        </is>
      </c>
      <c r="D196" s="10" t="inlineStr">
        <is>
          <t>Enrôlement d'une flotte de transporteur</t>
        </is>
      </c>
      <c r="E196" s="10" t="inlineStr"/>
      <c r="F196" s="10" t="inlineStr">
        <is>
          <t>R01 demande un compte « Transporteur » avec l'agrément → R18 valide → R04 enrôle un chauffeur (date du permis) et un camion (assurance, visite technique) → R14 instruit, convoque et remet les badges (numéro + expiration) → rappel avant échéance des documents</t>
        </is>
      </c>
      <c r="G196" s="10" t="inlineStr">
        <is>
          <t>Flotte enrôlée ; badges tracés ; chaque étape notifiée au représentant et à l'administrateur de l'entreprise</t>
        </is>
      </c>
      <c r="H196" s="11" t="n"/>
      <c r="I196" s="12" t="n"/>
      <c r="J196" s="11" t="n"/>
      <c r="K196" s="11" t="n"/>
      <c r="L196" s="11" t="n"/>
    </row>
    <row r="197">
      <c r="A197" s="10" t="inlineStr">
        <is>
          <t>Bout en bout</t>
        </is>
      </c>
      <c r="B197" s="10" t="inlineStr">
        <is>
          <t>E2E-05</t>
        </is>
      </c>
      <c r="C197" s="10" t="inlineStr">
        <is>
          <t>Plusieurs</t>
        </is>
      </c>
      <c r="D197" s="10" t="inlineStr">
        <is>
          <t>Réclamation puis avoir</t>
        </is>
      </c>
      <c r="E197" s="10" t="inlineStr"/>
      <c r="F197" s="10" t="inlineStr">
        <is>
          <t>R02 réclame → R13 répond → R02 demande un avoir → R15 instruit et accorde</t>
        </is>
      </c>
      <c r="G197" s="10" t="inlineStr">
        <is>
          <t>Décision notifiée et tracée</t>
        </is>
      </c>
      <c r="H197" s="11" t="n"/>
      <c r="I197" s="12" t="n"/>
      <c r="J197" s="11" t="n"/>
      <c r="K197" s="11" t="n"/>
      <c r="L197" s="11" t="n"/>
    </row>
    <row r="198">
      <c r="A198" s="10" t="inlineStr">
        <is>
          <t>Bout en bout</t>
        </is>
      </c>
      <c r="B198" s="10" t="inlineStr">
        <is>
          <t>E2E-06</t>
        </is>
      </c>
      <c r="C198" s="10" t="inlineStr">
        <is>
          <t>Plusieurs</t>
        </is>
      </c>
      <c r="D198" s="10" t="inlineStr">
        <is>
          <t>Rendez-vous guichet</t>
        </is>
      </c>
      <c r="E198" s="10" t="inlineStr"/>
      <c r="F198" s="10" t="inlineStr">
        <is>
          <t>R02 réserve → R12 voit le rendez-vous dans l'agenda (Jour / Semaine / Mois) → R12 constate la présence</t>
        </is>
      </c>
      <c r="G198" s="10" t="inlineStr">
        <is>
          <t>Statut Honoré ; client notifié</t>
        </is>
      </c>
      <c r="H198" s="11" t="n"/>
      <c r="I198" s="12" t="n"/>
      <c r="J198" s="11" t="n"/>
      <c r="K198" s="11" t="n"/>
      <c r="L198" s="11" t="n"/>
    </row>
    <row r="199">
      <c r="A199" s="10" t="inlineStr">
        <is>
          <t>Bout en bout</t>
        </is>
      </c>
      <c r="B199" s="10" t="inlineStr">
        <is>
          <t>E2E-07</t>
        </is>
      </c>
      <c r="C199" s="10" t="inlineStr">
        <is>
          <t>Plusieurs</t>
        </is>
      </c>
      <c r="D199" s="10" t="inlineStr">
        <is>
          <t>Incident technique</t>
        </is>
      </c>
      <c r="E199" s="10" t="inlineStr"/>
      <c r="F199" s="10" t="inlineStr">
        <is>
          <t>R02 signale → R17 N1 diagnostique → escalade N2 → N2 résout</t>
        </is>
      </c>
      <c r="G199" s="10" t="inlineStr">
        <is>
          <t>Déclarant notifié à chaque étape ; SLA mesuré</t>
        </is>
      </c>
      <c r="H199" s="11" t="n"/>
      <c r="I199" s="12" t="n"/>
      <c r="J199" s="11" t="n"/>
      <c r="K199" s="11" t="n"/>
      <c r="L199" s="11" t="n"/>
    </row>
    <row r="200">
      <c r="A200" s="10" t="inlineStr">
        <is>
          <t>Bout en bout</t>
        </is>
      </c>
      <c r="B200" s="10" t="inlineStr">
        <is>
          <t>E2E-08</t>
        </is>
      </c>
      <c r="C200" s="10" t="inlineStr">
        <is>
          <t>Plusieurs</t>
        </is>
      </c>
      <c r="D200" s="10" t="inlineStr">
        <is>
          <t>Nouvel agent</t>
        </is>
      </c>
      <c r="E200" s="10" t="inlineStr"/>
      <c r="F200" s="10" t="inlineStr">
        <is>
          <t>R18 crée l'agent → première connexion avec 2FA obligatoire → l'agent ne voit que ses écrans</t>
        </is>
      </c>
      <c r="G200" s="10" t="inlineStr">
        <is>
          <t>Aucun écran hors permissions ; accès direct par URL refusé</t>
        </is>
      </c>
      <c r="H200" s="11" t="n"/>
      <c r="I200" s="12" t="n"/>
      <c r="J200" s="11" t="n"/>
      <c r="K200" s="11" t="n"/>
      <c r="L200" s="11" t="n"/>
    </row>
    <row r="201">
      <c r="A201" s="10" t="inlineStr">
        <is>
          <t>Bout en bout</t>
        </is>
      </c>
      <c r="B201" s="10" t="inlineStr">
        <is>
          <t>E2E-09</t>
        </is>
      </c>
      <c r="C201" s="10" t="inlineStr">
        <is>
          <t>Plusieurs</t>
        </is>
      </c>
      <c r="D201" s="10" t="inlineStr">
        <is>
          <t>Import d'un client Deposit</t>
        </is>
      </c>
      <c r="E201" s="10" t="inlineStr"/>
      <c r="F201" s="10" t="inlineStr">
        <is>
          <t>R02 (société Deposit) soumet → R05 Manifeste → R07 Facturation → R09 lettrage IRIS puis confirmation → R06 Contrôle doc (clôture)</t>
        </is>
      </c>
      <c r="G201" s="10" t="inlineStr">
        <is>
          <t>Aucune étape de paiement ; passage direct Facturation → Comptabilité client ; clôture au contrôle documentaire</t>
        </is>
      </c>
      <c r="H201" s="11" t="n"/>
      <c r="I201" s="12" t="n"/>
      <c r="J201" s="11" t="n"/>
      <c r="K201" s="11" t="n"/>
      <c r="L201" s="11" t="n"/>
    </row>
    <row r="202">
      <c r="A202" s="10" t="inlineStr">
        <is>
          <t>Bout en bout</t>
        </is>
      </c>
      <c r="B202" s="10" t="inlineStr">
        <is>
          <t>E2E-10</t>
        </is>
      </c>
      <c r="C202" s="10" t="inlineStr">
        <is>
          <t>Plusieurs</t>
        </is>
      </c>
      <c r="D202" s="10" t="inlineStr">
        <is>
          <t>Import d'un client En compte</t>
        </is>
      </c>
      <c r="E202" s="10" t="inlineStr"/>
      <c r="F202" s="10" t="inlineStr">
        <is>
          <t>R02 (société En compte) soumet → R05 Manifeste → R07 Facturation → R06 Contrôle doc (clôture)</t>
        </is>
      </c>
      <c r="G202" s="10" t="inlineStr">
        <is>
          <t>Ni paiement ni lettrage : passage direct Facturation → Contrôle documentaire</t>
        </is>
      </c>
      <c r="H202" s="11" t="n"/>
      <c r="I202" s="12" t="n"/>
      <c r="J202" s="11" t="n"/>
      <c r="K202" s="11" t="n"/>
      <c r="L202" s="11" t="n"/>
    </row>
  </sheetData>
  <autoFilter ref="A1:L202"/>
  <conditionalFormatting sqref="J2:J202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"NT"</formula>
    </cfRule>
  </conditionalFormatting>
  <dataValidations count="1">
    <dataValidation sqref="J2:J202" showDropDown="0" showInputMessage="0" showErrorMessage="0" allowBlank="1" type="list">
      <formula1>"OK,KO,Bloqué,NT"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12" customWidth="1" min="5" max="5"/>
    <col width="30" customWidth="1" min="6" max="6"/>
    <col width="45" customWidth="1" min="7" max="7"/>
    <col width="30" customWidth="1" min="8" max="8"/>
    <col width="30" customWidth="1" min="9" max="9"/>
    <col width="15" customWidth="1" min="10" max="10"/>
    <col width="13" customWidth="1" min="11" max="11"/>
    <col width="12" customWidth="1" min="12" max="12"/>
  </cols>
  <sheetData>
    <row r="1">
      <c r="A1" s="9" t="inlineStr">
        <is>
          <t>N° anomalie</t>
        </is>
      </c>
      <c r="B1" s="9" t="inlineStr">
        <is>
          <t>Cas de test</t>
        </is>
      </c>
      <c r="C1" s="9" t="inlineStr">
        <is>
          <t>Date constat</t>
        </is>
      </c>
      <c r="D1" s="9" t="inlineStr">
        <is>
          <t>Testeur</t>
        </is>
      </c>
      <c r="E1" s="9" t="inlineStr">
        <is>
          <t>Sévérité</t>
        </is>
      </c>
      <c r="F1" s="9" t="inlineStr">
        <is>
          <t>URL</t>
        </is>
      </c>
      <c r="G1" s="9" t="inlineStr">
        <is>
          <t>Étapes pour reproduire</t>
        </is>
      </c>
      <c r="H1" s="9" t="inlineStr">
        <is>
          <t>Résultat attendu</t>
        </is>
      </c>
      <c r="I1" s="9" t="inlineStr">
        <is>
          <t>Résultat obtenu</t>
        </is>
      </c>
      <c r="J1" s="9" t="inlineStr">
        <is>
          <t>Statut</t>
        </is>
      </c>
      <c r="K1" s="9" t="inlineStr">
        <is>
          <t>Date re-test</t>
        </is>
      </c>
      <c r="L1" s="9" t="inlineStr">
        <is>
          <t>Re-test OK ?</t>
        </is>
      </c>
    </row>
    <row r="2">
      <c r="A2" s="11" t="n"/>
      <c r="B2" s="11" t="n"/>
      <c r="C2" s="13" t="n"/>
      <c r="D2" s="11" t="n"/>
      <c r="E2" s="11" t="n"/>
      <c r="F2" s="11" t="n"/>
      <c r="G2" s="11" t="n"/>
      <c r="H2" s="11" t="n"/>
      <c r="I2" s="11" t="n"/>
      <c r="J2" s="11" t="n"/>
      <c r="K2" s="12" t="n"/>
      <c r="L2" s="11" t="n"/>
    </row>
    <row r="3">
      <c r="A3" s="11" t="n"/>
      <c r="B3" s="11" t="n"/>
      <c r="C3" s="13" t="n"/>
      <c r="D3" s="11" t="n"/>
      <c r="E3" s="11" t="n"/>
      <c r="F3" s="11" t="n"/>
      <c r="G3" s="11" t="n"/>
      <c r="H3" s="11" t="n"/>
      <c r="I3" s="11" t="n"/>
      <c r="J3" s="11" t="n"/>
      <c r="K3" s="12" t="n"/>
      <c r="L3" s="11" t="n"/>
    </row>
    <row r="4">
      <c r="A4" s="11" t="n"/>
      <c r="B4" s="11" t="n"/>
      <c r="C4" s="13" t="n"/>
      <c r="D4" s="11" t="n"/>
      <c r="E4" s="11" t="n"/>
      <c r="F4" s="11" t="n"/>
      <c r="G4" s="11" t="n"/>
      <c r="H4" s="11" t="n"/>
      <c r="I4" s="11" t="n"/>
      <c r="J4" s="11" t="n"/>
      <c r="K4" s="12" t="n"/>
      <c r="L4" s="11" t="n"/>
    </row>
    <row r="5">
      <c r="A5" s="11" t="n"/>
      <c r="B5" s="11" t="n"/>
      <c r="C5" s="13" t="n"/>
      <c r="D5" s="11" t="n"/>
      <c r="E5" s="11" t="n"/>
      <c r="F5" s="11" t="n"/>
      <c r="G5" s="11" t="n"/>
      <c r="H5" s="11" t="n"/>
      <c r="I5" s="11" t="n"/>
      <c r="J5" s="11" t="n"/>
      <c r="K5" s="12" t="n"/>
      <c r="L5" s="11" t="n"/>
    </row>
    <row r="6">
      <c r="A6" s="11" t="n"/>
      <c r="B6" s="11" t="n"/>
      <c r="C6" s="13" t="n"/>
      <c r="D6" s="11" t="n"/>
      <c r="E6" s="11" t="n"/>
      <c r="F6" s="11" t="n"/>
      <c r="G6" s="11" t="n"/>
      <c r="H6" s="11" t="n"/>
      <c r="I6" s="11" t="n"/>
      <c r="J6" s="11" t="n"/>
      <c r="K6" s="12" t="n"/>
      <c r="L6" s="11" t="n"/>
    </row>
    <row r="7">
      <c r="A7" s="11" t="n"/>
      <c r="B7" s="11" t="n"/>
      <c r="C7" s="13" t="n"/>
      <c r="D7" s="11" t="n"/>
      <c r="E7" s="11" t="n"/>
      <c r="F7" s="11" t="n"/>
      <c r="G7" s="11" t="n"/>
      <c r="H7" s="11" t="n"/>
      <c r="I7" s="11" t="n"/>
      <c r="J7" s="11" t="n"/>
      <c r="K7" s="12" t="n"/>
      <c r="L7" s="11" t="n"/>
    </row>
    <row r="8">
      <c r="A8" s="11" t="n"/>
      <c r="B8" s="11" t="n"/>
      <c r="C8" s="13" t="n"/>
      <c r="D8" s="11" t="n"/>
      <c r="E8" s="11" t="n"/>
      <c r="F8" s="11" t="n"/>
      <c r="G8" s="11" t="n"/>
      <c r="H8" s="11" t="n"/>
      <c r="I8" s="11" t="n"/>
      <c r="J8" s="11" t="n"/>
      <c r="K8" s="12" t="n"/>
      <c r="L8" s="11" t="n"/>
    </row>
    <row r="9">
      <c r="A9" s="11" t="n"/>
      <c r="B9" s="11" t="n"/>
      <c r="C9" s="13" t="n"/>
      <c r="D9" s="11" t="n"/>
      <c r="E9" s="11" t="n"/>
      <c r="F9" s="11" t="n"/>
      <c r="G9" s="11" t="n"/>
      <c r="H9" s="11" t="n"/>
      <c r="I9" s="11" t="n"/>
      <c r="J9" s="11" t="n"/>
      <c r="K9" s="12" t="n"/>
      <c r="L9" s="11" t="n"/>
    </row>
    <row r="10">
      <c r="A10" s="11" t="n"/>
      <c r="B10" s="11" t="n"/>
      <c r="C10" s="13" t="n"/>
      <c r="D10" s="11" t="n"/>
      <c r="E10" s="11" t="n"/>
      <c r="F10" s="11" t="n"/>
      <c r="G10" s="11" t="n"/>
      <c r="H10" s="11" t="n"/>
      <c r="I10" s="11" t="n"/>
      <c r="J10" s="11" t="n"/>
      <c r="K10" s="12" t="n"/>
      <c r="L10" s="11" t="n"/>
    </row>
    <row r="11">
      <c r="A11" s="11" t="n"/>
      <c r="B11" s="11" t="n"/>
      <c r="C11" s="13" t="n"/>
      <c r="D11" s="11" t="n"/>
      <c r="E11" s="11" t="n"/>
      <c r="F11" s="11" t="n"/>
      <c r="G11" s="11" t="n"/>
      <c r="H11" s="11" t="n"/>
      <c r="I11" s="11" t="n"/>
      <c r="J11" s="11" t="n"/>
      <c r="K11" s="12" t="n"/>
      <c r="L11" s="11" t="n"/>
    </row>
    <row r="12">
      <c r="A12" s="11" t="n"/>
      <c r="B12" s="11" t="n"/>
      <c r="C12" s="13" t="n"/>
      <c r="D12" s="11" t="n"/>
      <c r="E12" s="11" t="n"/>
      <c r="F12" s="11" t="n"/>
      <c r="G12" s="11" t="n"/>
      <c r="H12" s="11" t="n"/>
      <c r="I12" s="11" t="n"/>
      <c r="J12" s="11" t="n"/>
      <c r="K12" s="12" t="n"/>
      <c r="L12" s="11" t="n"/>
    </row>
    <row r="13">
      <c r="A13" s="11" t="n"/>
      <c r="B13" s="11" t="n"/>
      <c r="C13" s="13" t="n"/>
      <c r="D13" s="11" t="n"/>
      <c r="E13" s="11" t="n"/>
      <c r="F13" s="11" t="n"/>
      <c r="G13" s="11" t="n"/>
      <c r="H13" s="11" t="n"/>
      <c r="I13" s="11" t="n"/>
      <c r="J13" s="11" t="n"/>
      <c r="K13" s="12" t="n"/>
      <c r="L13" s="11" t="n"/>
    </row>
    <row r="14">
      <c r="A14" s="11" t="n"/>
      <c r="B14" s="11" t="n"/>
      <c r="C14" s="13" t="n"/>
      <c r="D14" s="11" t="n"/>
      <c r="E14" s="11" t="n"/>
      <c r="F14" s="11" t="n"/>
      <c r="G14" s="11" t="n"/>
      <c r="H14" s="11" t="n"/>
      <c r="I14" s="11" t="n"/>
      <c r="J14" s="11" t="n"/>
      <c r="K14" s="12" t="n"/>
      <c r="L14" s="11" t="n"/>
    </row>
    <row r="15">
      <c r="A15" s="11" t="n"/>
      <c r="B15" s="11" t="n"/>
      <c r="C15" s="13" t="n"/>
      <c r="D15" s="11" t="n"/>
      <c r="E15" s="11" t="n"/>
      <c r="F15" s="11" t="n"/>
      <c r="G15" s="11" t="n"/>
      <c r="H15" s="11" t="n"/>
      <c r="I15" s="11" t="n"/>
      <c r="J15" s="11" t="n"/>
      <c r="K15" s="12" t="n"/>
      <c r="L15" s="11" t="n"/>
    </row>
    <row r="16">
      <c r="A16" s="11" t="n"/>
      <c r="B16" s="11" t="n"/>
      <c r="C16" s="13" t="n"/>
      <c r="D16" s="11" t="n"/>
      <c r="E16" s="11" t="n"/>
      <c r="F16" s="11" t="n"/>
      <c r="G16" s="11" t="n"/>
      <c r="H16" s="11" t="n"/>
      <c r="I16" s="11" t="n"/>
      <c r="J16" s="11" t="n"/>
      <c r="K16" s="12" t="n"/>
      <c r="L16" s="11" t="n"/>
    </row>
    <row r="17">
      <c r="A17" s="11" t="n"/>
      <c r="B17" s="11" t="n"/>
      <c r="C17" s="13" t="n"/>
      <c r="D17" s="11" t="n"/>
      <c r="E17" s="11" t="n"/>
      <c r="F17" s="11" t="n"/>
      <c r="G17" s="11" t="n"/>
      <c r="H17" s="11" t="n"/>
      <c r="I17" s="11" t="n"/>
      <c r="J17" s="11" t="n"/>
      <c r="K17" s="12" t="n"/>
      <c r="L17" s="11" t="n"/>
    </row>
    <row r="18">
      <c r="A18" s="11" t="n"/>
      <c r="B18" s="11" t="n"/>
      <c r="C18" s="13" t="n"/>
      <c r="D18" s="11" t="n"/>
      <c r="E18" s="11" t="n"/>
      <c r="F18" s="11" t="n"/>
      <c r="G18" s="11" t="n"/>
      <c r="H18" s="11" t="n"/>
      <c r="I18" s="11" t="n"/>
      <c r="J18" s="11" t="n"/>
      <c r="K18" s="12" t="n"/>
      <c r="L18" s="11" t="n"/>
    </row>
    <row r="19">
      <c r="A19" s="11" t="n"/>
      <c r="B19" s="11" t="n"/>
      <c r="C19" s="13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</row>
    <row r="20">
      <c r="A20" s="11" t="n"/>
      <c r="B20" s="11" t="n"/>
      <c r="C20" s="13" t="n"/>
      <c r="D20" s="11" t="n"/>
      <c r="E20" s="11" t="n"/>
      <c r="F20" s="11" t="n"/>
      <c r="G20" s="11" t="n"/>
      <c r="H20" s="11" t="n"/>
      <c r="I20" s="11" t="n"/>
      <c r="J20" s="11" t="n"/>
      <c r="K20" s="12" t="n"/>
      <c r="L20" s="11" t="n"/>
    </row>
    <row r="21">
      <c r="A21" s="11" t="n"/>
      <c r="B21" s="11" t="n"/>
      <c r="C21" s="13" t="n"/>
      <c r="D21" s="11" t="n"/>
      <c r="E21" s="11" t="n"/>
      <c r="F21" s="11" t="n"/>
      <c r="G21" s="11" t="n"/>
      <c r="H21" s="11" t="n"/>
      <c r="I21" s="11" t="n"/>
      <c r="J21" s="11" t="n"/>
      <c r="K21" s="12" t="n"/>
      <c r="L21" s="11" t="n"/>
    </row>
    <row r="22">
      <c r="A22" s="11" t="n"/>
      <c r="B22" s="11" t="n"/>
      <c r="C22" s="13" t="n"/>
      <c r="D22" s="11" t="n"/>
      <c r="E22" s="11" t="n"/>
      <c r="F22" s="11" t="n"/>
      <c r="G22" s="11" t="n"/>
      <c r="H22" s="11" t="n"/>
      <c r="I22" s="11" t="n"/>
      <c r="J22" s="11" t="n"/>
      <c r="K22" s="12" t="n"/>
      <c r="L22" s="11" t="n"/>
    </row>
    <row r="23">
      <c r="A23" s="11" t="n"/>
      <c r="B23" s="11" t="n"/>
      <c r="C23" s="13" t="n"/>
      <c r="D23" s="11" t="n"/>
      <c r="E23" s="11" t="n"/>
      <c r="F23" s="11" t="n"/>
      <c r="G23" s="11" t="n"/>
      <c r="H23" s="11" t="n"/>
      <c r="I23" s="11" t="n"/>
      <c r="J23" s="11" t="n"/>
      <c r="K23" s="12" t="n"/>
      <c r="L23" s="11" t="n"/>
    </row>
    <row r="24">
      <c r="A24" s="11" t="n"/>
      <c r="B24" s="11" t="n"/>
      <c r="C24" s="13" t="n"/>
      <c r="D24" s="11" t="n"/>
      <c r="E24" s="11" t="n"/>
      <c r="F24" s="11" t="n"/>
      <c r="G24" s="11" t="n"/>
      <c r="H24" s="11" t="n"/>
      <c r="I24" s="11" t="n"/>
      <c r="J24" s="11" t="n"/>
      <c r="K24" s="12" t="n"/>
      <c r="L24" s="11" t="n"/>
    </row>
    <row r="25">
      <c r="A25" s="11" t="n"/>
      <c r="B25" s="11" t="n"/>
      <c r="C25" s="13" t="n"/>
      <c r="D25" s="11" t="n"/>
      <c r="E25" s="11" t="n"/>
      <c r="F25" s="11" t="n"/>
      <c r="G25" s="11" t="n"/>
      <c r="H25" s="11" t="n"/>
      <c r="I25" s="11" t="n"/>
      <c r="J25" s="11" t="n"/>
      <c r="K25" s="12" t="n"/>
      <c r="L25" s="11" t="n"/>
    </row>
    <row r="26">
      <c r="A26" s="11" t="n"/>
      <c r="B26" s="11" t="n"/>
      <c r="C26" s="13" t="n"/>
      <c r="D26" s="11" t="n"/>
      <c r="E26" s="11" t="n"/>
      <c r="F26" s="11" t="n"/>
      <c r="G26" s="11" t="n"/>
      <c r="H26" s="11" t="n"/>
      <c r="I26" s="11" t="n"/>
      <c r="J26" s="11" t="n"/>
      <c r="K26" s="12" t="n"/>
      <c r="L26" s="11" t="n"/>
    </row>
    <row r="27">
      <c r="A27" s="11" t="n"/>
      <c r="B27" s="11" t="n"/>
      <c r="C27" s="13" t="n"/>
      <c r="D27" s="11" t="n"/>
      <c r="E27" s="11" t="n"/>
      <c r="F27" s="11" t="n"/>
      <c r="G27" s="11" t="n"/>
      <c r="H27" s="11" t="n"/>
      <c r="I27" s="11" t="n"/>
      <c r="J27" s="11" t="n"/>
      <c r="K27" s="12" t="n"/>
      <c r="L27" s="11" t="n"/>
    </row>
    <row r="28">
      <c r="A28" s="11" t="n"/>
      <c r="B28" s="11" t="n"/>
      <c r="C28" s="13" t="n"/>
      <c r="D28" s="11" t="n"/>
      <c r="E28" s="11" t="n"/>
      <c r="F28" s="11" t="n"/>
      <c r="G28" s="11" t="n"/>
      <c r="H28" s="11" t="n"/>
      <c r="I28" s="11" t="n"/>
      <c r="J28" s="11" t="n"/>
      <c r="K28" s="12" t="n"/>
      <c r="L28" s="11" t="n"/>
    </row>
    <row r="29">
      <c r="A29" s="11" t="n"/>
      <c r="B29" s="11" t="n"/>
      <c r="C29" s="13" t="n"/>
      <c r="D29" s="11" t="n"/>
      <c r="E29" s="11" t="n"/>
      <c r="F29" s="11" t="n"/>
      <c r="G29" s="11" t="n"/>
      <c r="H29" s="11" t="n"/>
      <c r="I29" s="11" t="n"/>
      <c r="J29" s="11" t="n"/>
      <c r="K29" s="12" t="n"/>
      <c r="L29" s="11" t="n"/>
    </row>
    <row r="30">
      <c r="A30" s="11" t="n"/>
      <c r="B30" s="11" t="n"/>
      <c r="C30" s="13" t="n"/>
      <c r="D30" s="11" t="n"/>
      <c r="E30" s="11" t="n"/>
      <c r="F30" s="11" t="n"/>
      <c r="G30" s="11" t="n"/>
      <c r="H30" s="11" t="n"/>
      <c r="I30" s="11" t="n"/>
      <c r="J30" s="11" t="n"/>
      <c r="K30" s="12" t="n"/>
      <c r="L30" s="11" t="n"/>
    </row>
    <row r="31">
      <c r="A31" s="11" t="n"/>
      <c r="B31" s="11" t="n"/>
      <c r="C31" s="13" t="n"/>
      <c r="D31" s="11" t="n"/>
      <c r="E31" s="11" t="n"/>
      <c r="F31" s="11" t="n"/>
      <c r="G31" s="11" t="n"/>
      <c r="H31" s="11" t="n"/>
      <c r="I31" s="11" t="n"/>
      <c r="J31" s="11" t="n"/>
      <c r="K31" s="12" t="n"/>
      <c r="L31" s="11" t="n"/>
    </row>
    <row r="32">
      <c r="A32" s="11" t="n"/>
      <c r="B32" s="11" t="n"/>
      <c r="C32" s="13" t="n"/>
      <c r="D32" s="11" t="n"/>
      <c r="E32" s="11" t="n"/>
      <c r="F32" s="11" t="n"/>
      <c r="G32" s="11" t="n"/>
      <c r="H32" s="11" t="n"/>
      <c r="I32" s="11" t="n"/>
      <c r="J32" s="11" t="n"/>
      <c r="K32" s="12" t="n"/>
      <c r="L32" s="11" t="n"/>
    </row>
    <row r="33">
      <c r="A33" s="11" t="n"/>
      <c r="B33" s="11" t="n"/>
      <c r="C33" s="13" t="n"/>
      <c r="D33" s="11" t="n"/>
      <c r="E33" s="11" t="n"/>
      <c r="F33" s="11" t="n"/>
      <c r="G33" s="11" t="n"/>
      <c r="H33" s="11" t="n"/>
      <c r="I33" s="11" t="n"/>
      <c r="J33" s="11" t="n"/>
      <c r="K33" s="12" t="n"/>
      <c r="L33" s="11" t="n"/>
    </row>
    <row r="34">
      <c r="A34" s="11" t="n"/>
      <c r="B34" s="11" t="n"/>
      <c r="C34" s="13" t="n"/>
      <c r="D34" s="11" t="n"/>
      <c r="E34" s="11" t="n"/>
      <c r="F34" s="11" t="n"/>
      <c r="G34" s="11" t="n"/>
      <c r="H34" s="11" t="n"/>
      <c r="I34" s="11" t="n"/>
      <c r="J34" s="11" t="n"/>
      <c r="K34" s="12" t="n"/>
      <c r="L34" s="11" t="n"/>
    </row>
    <row r="35">
      <c r="A35" s="11" t="n"/>
      <c r="B35" s="11" t="n"/>
      <c r="C35" s="13" t="n"/>
      <c r="D35" s="11" t="n"/>
      <c r="E35" s="11" t="n"/>
      <c r="F35" s="11" t="n"/>
      <c r="G35" s="11" t="n"/>
      <c r="H35" s="11" t="n"/>
      <c r="I35" s="11" t="n"/>
      <c r="J35" s="11" t="n"/>
      <c r="K35" s="12" t="n"/>
      <c r="L35" s="11" t="n"/>
    </row>
    <row r="36">
      <c r="A36" s="11" t="n"/>
      <c r="B36" s="11" t="n"/>
      <c r="C36" s="13" t="n"/>
      <c r="D36" s="11" t="n"/>
      <c r="E36" s="11" t="n"/>
      <c r="F36" s="11" t="n"/>
      <c r="G36" s="11" t="n"/>
      <c r="H36" s="11" t="n"/>
      <c r="I36" s="11" t="n"/>
      <c r="J36" s="11" t="n"/>
      <c r="K36" s="12" t="n"/>
      <c r="L36" s="11" t="n"/>
    </row>
    <row r="37">
      <c r="A37" s="11" t="n"/>
      <c r="B37" s="11" t="n"/>
      <c r="C37" s="13" t="n"/>
      <c r="D37" s="11" t="n"/>
      <c r="E37" s="11" t="n"/>
      <c r="F37" s="11" t="n"/>
      <c r="G37" s="11" t="n"/>
      <c r="H37" s="11" t="n"/>
      <c r="I37" s="11" t="n"/>
      <c r="J37" s="11" t="n"/>
      <c r="K37" s="12" t="n"/>
      <c r="L37" s="11" t="n"/>
    </row>
    <row r="38">
      <c r="A38" s="11" t="n"/>
      <c r="B38" s="11" t="n"/>
      <c r="C38" s="13" t="n"/>
      <c r="D38" s="11" t="n"/>
      <c r="E38" s="11" t="n"/>
      <c r="F38" s="11" t="n"/>
      <c r="G38" s="11" t="n"/>
      <c r="H38" s="11" t="n"/>
      <c r="I38" s="11" t="n"/>
      <c r="J38" s="11" t="n"/>
      <c r="K38" s="12" t="n"/>
      <c r="L38" s="11" t="n"/>
    </row>
    <row r="39">
      <c r="A39" s="11" t="n"/>
      <c r="B39" s="11" t="n"/>
      <c r="C39" s="13" t="n"/>
      <c r="D39" s="11" t="n"/>
      <c r="E39" s="11" t="n"/>
      <c r="F39" s="11" t="n"/>
      <c r="G39" s="11" t="n"/>
      <c r="H39" s="11" t="n"/>
      <c r="I39" s="11" t="n"/>
      <c r="J39" s="11" t="n"/>
      <c r="K39" s="12" t="n"/>
      <c r="L39" s="11" t="n"/>
    </row>
    <row r="40">
      <c r="A40" s="11" t="n"/>
      <c r="B40" s="11" t="n"/>
      <c r="C40" s="13" t="n"/>
      <c r="D40" s="11" t="n"/>
      <c r="E40" s="11" t="n"/>
      <c r="F40" s="11" t="n"/>
      <c r="G40" s="11" t="n"/>
      <c r="H40" s="11" t="n"/>
      <c r="I40" s="11" t="n"/>
      <c r="J40" s="11" t="n"/>
      <c r="K40" s="12" t="n"/>
      <c r="L40" s="11" t="n"/>
    </row>
    <row r="41">
      <c r="A41" s="11" t="n"/>
      <c r="B41" s="11" t="n"/>
      <c r="C41" s="13" t="n"/>
      <c r="D41" s="11" t="n"/>
      <c r="E41" s="11" t="n"/>
      <c r="F41" s="11" t="n"/>
      <c r="G41" s="11" t="n"/>
      <c r="H41" s="11" t="n"/>
      <c r="I41" s="11" t="n"/>
      <c r="J41" s="11" t="n"/>
      <c r="K41" s="12" t="n"/>
      <c r="L41" s="11" t="n"/>
    </row>
    <row r="42">
      <c r="A42" s="11" t="n"/>
      <c r="B42" s="11" t="n"/>
      <c r="C42" s="13" t="n"/>
      <c r="D42" s="11" t="n"/>
      <c r="E42" s="11" t="n"/>
      <c r="F42" s="11" t="n"/>
      <c r="G42" s="11" t="n"/>
      <c r="H42" s="11" t="n"/>
      <c r="I42" s="11" t="n"/>
      <c r="J42" s="11" t="n"/>
      <c r="K42" s="12" t="n"/>
      <c r="L42" s="11" t="n"/>
    </row>
    <row r="43">
      <c r="A43" s="11" t="n"/>
      <c r="B43" s="11" t="n"/>
      <c r="C43" s="13" t="n"/>
      <c r="D43" s="11" t="n"/>
      <c r="E43" s="11" t="n"/>
      <c r="F43" s="11" t="n"/>
      <c r="G43" s="11" t="n"/>
      <c r="H43" s="11" t="n"/>
      <c r="I43" s="11" t="n"/>
      <c r="J43" s="11" t="n"/>
      <c r="K43" s="12" t="n"/>
      <c r="L43" s="11" t="n"/>
    </row>
    <row r="44">
      <c r="A44" s="11" t="n"/>
      <c r="B44" s="11" t="n"/>
      <c r="C44" s="13" t="n"/>
      <c r="D44" s="11" t="n"/>
      <c r="E44" s="11" t="n"/>
      <c r="F44" s="11" t="n"/>
      <c r="G44" s="11" t="n"/>
      <c r="H44" s="11" t="n"/>
      <c r="I44" s="11" t="n"/>
      <c r="J44" s="11" t="n"/>
      <c r="K44" s="12" t="n"/>
      <c r="L44" s="11" t="n"/>
    </row>
    <row r="45">
      <c r="A45" s="11" t="n"/>
      <c r="B45" s="11" t="n"/>
      <c r="C45" s="13" t="n"/>
      <c r="D45" s="11" t="n"/>
      <c r="E45" s="11" t="n"/>
      <c r="F45" s="11" t="n"/>
      <c r="G45" s="11" t="n"/>
      <c r="H45" s="11" t="n"/>
      <c r="I45" s="11" t="n"/>
      <c r="J45" s="11" t="n"/>
      <c r="K45" s="12" t="n"/>
      <c r="L45" s="11" t="n"/>
    </row>
    <row r="46">
      <c r="A46" s="11" t="n"/>
      <c r="B46" s="11" t="n"/>
      <c r="C46" s="13" t="n"/>
      <c r="D46" s="11" t="n"/>
      <c r="E46" s="11" t="n"/>
      <c r="F46" s="11" t="n"/>
      <c r="G46" s="11" t="n"/>
      <c r="H46" s="11" t="n"/>
      <c r="I46" s="11" t="n"/>
      <c r="J46" s="11" t="n"/>
      <c r="K46" s="12" t="n"/>
      <c r="L46" s="11" t="n"/>
    </row>
    <row r="47">
      <c r="A47" s="11" t="n"/>
      <c r="B47" s="11" t="n"/>
      <c r="C47" s="13" t="n"/>
      <c r="D47" s="11" t="n"/>
      <c r="E47" s="11" t="n"/>
      <c r="F47" s="11" t="n"/>
      <c r="G47" s="11" t="n"/>
      <c r="H47" s="11" t="n"/>
      <c r="I47" s="11" t="n"/>
      <c r="J47" s="11" t="n"/>
      <c r="K47" s="12" t="n"/>
      <c r="L47" s="11" t="n"/>
    </row>
    <row r="48">
      <c r="A48" s="11" t="n"/>
      <c r="B48" s="11" t="n"/>
      <c r="C48" s="13" t="n"/>
      <c r="D48" s="11" t="n"/>
      <c r="E48" s="11" t="n"/>
      <c r="F48" s="11" t="n"/>
      <c r="G48" s="11" t="n"/>
      <c r="H48" s="11" t="n"/>
      <c r="I48" s="11" t="n"/>
      <c r="J48" s="11" t="n"/>
      <c r="K48" s="12" t="n"/>
      <c r="L48" s="11" t="n"/>
    </row>
    <row r="49">
      <c r="A49" s="11" t="n"/>
      <c r="B49" s="11" t="n"/>
      <c r="C49" s="13" t="n"/>
      <c r="D49" s="11" t="n"/>
      <c r="E49" s="11" t="n"/>
      <c r="F49" s="11" t="n"/>
      <c r="G49" s="11" t="n"/>
      <c r="H49" s="11" t="n"/>
      <c r="I49" s="11" t="n"/>
      <c r="J49" s="11" t="n"/>
      <c r="K49" s="12" t="n"/>
      <c r="L49" s="11" t="n"/>
    </row>
    <row r="50">
      <c r="A50" s="11" t="n"/>
      <c r="B50" s="11" t="n"/>
      <c r="C50" s="13" t="n"/>
      <c r="D50" s="11" t="n"/>
      <c r="E50" s="11" t="n"/>
      <c r="F50" s="11" t="n"/>
      <c r="G50" s="11" t="n"/>
      <c r="H50" s="11" t="n"/>
      <c r="I50" s="11" t="n"/>
      <c r="J50" s="11" t="n"/>
      <c r="K50" s="12" t="n"/>
      <c r="L50" s="11" t="n"/>
    </row>
    <row r="51">
      <c r="A51" s="11" t="n"/>
      <c r="B51" s="11" t="n"/>
      <c r="C51" s="13" t="n"/>
      <c r="D51" s="11" t="n"/>
      <c r="E51" s="11" t="n"/>
      <c r="F51" s="11" t="n"/>
      <c r="G51" s="11" t="n"/>
      <c r="H51" s="11" t="n"/>
      <c r="I51" s="11" t="n"/>
      <c r="J51" s="11" t="n"/>
      <c r="K51" s="12" t="n"/>
      <c r="L51" s="11" t="n"/>
    </row>
    <row r="52">
      <c r="A52" s="11" t="n"/>
      <c r="B52" s="11" t="n"/>
      <c r="C52" s="13" t="n"/>
      <c r="D52" s="11" t="n"/>
      <c r="E52" s="11" t="n"/>
      <c r="F52" s="11" t="n"/>
      <c r="G52" s="11" t="n"/>
      <c r="H52" s="11" t="n"/>
      <c r="I52" s="11" t="n"/>
      <c r="J52" s="11" t="n"/>
      <c r="K52" s="12" t="n"/>
      <c r="L52" s="11" t="n"/>
    </row>
    <row r="53">
      <c r="A53" s="11" t="n"/>
      <c r="B53" s="11" t="n"/>
      <c r="C53" s="13" t="n"/>
      <c r="D53" s="11" t="n"/>
      <c r="E53" s="11" t="n"/>
      <c r="F53" s="11" t="n"/>
      <c r="G53" s="11" t="n"/>
      <c r="H53" s="11" t="n"/>
      <c r="I53" s="11" t="n"/>
      <c r="J53" s="11" t="n"/>
      <c r="K53" s="12" t="n"/>
      <c r="L53" s="11" t="n"/>
    </row>
    <row r="54">
      <c r="A54" s="11" t="n"/>
      <c r="B54" s="11" t="n"/>
      <c r="C54" s="13" t="n"/>
      <c r="D54" s="11" t="n"/>
      <c r="E54" s="11" t="n"/>
      <c r="F54" s="11" t="n"/>
      <c r="G54" s="11" t="n"/>
      <c r="H54" s="11" t="n"/>
      <c r="I54" s="11" t="n"/>
      <c r="J54" s="11" t="n"/>
      <c r="K54" s="12" t="n"/>
      <c r="L54" s="11" t="n"/>
    </row>
    <row r="55">
      <c r="A55" s="11" t="n"/>
      <c r="B55" s="11" t="n"/>
      <c r="C55" s="13" t="n"/>
      <c r="D55" s="11" t="n"/>
      <c r="E55" s="11" t="n"/>
      <c r="F55" s="11" t="n"/>
      <c r="G55" s="11" t="n"/>
      <c r="H55" s="11" t="n"/>
      <c r="I55" s="11" t="n"/>
      <c r="J55" s="11" t="n"/>
      <c r="K55" s="12" t="n"/>
      <c r="L55" s="11" t="n"/>
    </row>
    <row r="56">
      <c r="A56" s="11" t="n"/>
      <c r="B56" s="11" t="n"/>
      <c r="C56" s="13" t="n"/>
      <c r="D56" s="11" t="n"/>
      <c r="E56" s="11" t="n"/>
      <c r="F56" s="11" t="n"/>
      <c r="G56" s="11" t="n"/>
      <c r="H56" s="11" t="n"/>
      <c r="I56" s="11" t="n"/>
      <c r="J56" s="11" t="n"/>
      <c r="K56" s="12" t="n"/>
      <c r="L56" s="11" t="n"/>
    </row>
    <row r="57">
      <c r="A57" s="11" t="n"/>
      <c r="B57" s="11" t="n"/>
      <c r="C57" s="13" t="n"/>
      <c r="D57" s="11" t="n"/>
      <c r="E57" s="11" t="n"/>
      <c r="F57" s="11" t="n"/>
      <c r="G57" s="11" t="n"/>
      <c r="H57" s="11" t="n"/>
      <c r="I57" s="11" t="n"/>
      <c r="J57" s="11" t="n"/>
      <c r="K57" s="12" t="n"/>
      <c r="L57" s="11" t="n"/>
    </row>
    <row r="58">
      <c r="A58" s="11" t="n"/>
      <c r="B58" s="11" t="n"/>
      <c r="C58" s="13" t="n"/>
      <c r="D58" s="11" t="n"/>
      <c r="E58" s="11" t="n"/>
      <c r="F58" s="11" t="n"/>
      <c r="G58" s="11" t="n"/>
      <c r="H58" s="11" t="n"/>
      <c r="I58" s="11" t="n"/>
      <c r="J58" s="11" t="n"/>
      <c r="K58" s="12" t="n"/>
      <c r="L58" s="11" t="n"/>
    </row>
    <row r="59">
      <c r="A59" s="11" t="n"/>
      <c r="B59" s="11" t="n"/>
      <c r="C59" s="13" t="n"/>
      <c r="D59" s="11" t="n"/>
      <c r="E59" s="11" t="n"/>
      <c r="F59" s="11" t="n"/>
      <c r="G59" s="11" t="n"/>
      <c r="H59" s="11" t="n"/>
      <c r="I59" s="11" t="n"/>
      <c r="J59" s="11" t="n"/>
      <c r="K59" s="12" t="n"/>
      <c r="L59" s="11" t="n"/>
    </row>
    <row r="60">
      <c r="A60" s="11" t="n"/>
      <c r="B60" s="11" t="n"/>
      <c r="C60" s="13" t="n"/>
      <c r="D60" s="11" t="n"/>
      <c r="E60" s="11" t="n"/>
      <c r="F60" s="11" t="n"/>
      <c r="G60" s="11" t="n"/>
      <c r="H60" s="11" t="n"/>
      <c r="I60" s="11" t="n"/>
      <c r="J60" s="11" t="n"/>
      <c r="K60" s="12" t="n"/>
      <c r="L60" s="11" t="n"/>
    </row>
    <row r="61">
      <c r="A61" s="11" t="n"/>
      <c r="B61" s="11" t="n"/>
      <c r="C61" s="13" t="n"/>
      <c r="D61" s="11" t="n"/>
      <c r="E61" s="11" t="n"/>
      <c r="F61" s="11" t="n"/>
      <c r="G61" s="11" t="n"/>
      <c r="H61" s="11" t="n"/>
      <c r="I61" s="11" t="n"/>
      <c r="J61" s="11" t="n"/>
      <c r="K61" s="12" t="n"/>
      <c r="L61" s="11" t="n"/>
    </row>
    <row r="62">
      <c r="A62" s="11" t="n"/>
      <c r="B62" s="11" t="n"/>
      <c r="C62" s="13" t="n"/>
      <c r="D62" s="11" t="n"/>
      <c r="E62" s="11" t="n"/>
      <c r="F62" s="11" t="n"/>
      <c r="G62" s="11" t="n"/>
      <c r="H62" s="11" t="n"/>
      <c r="I62" s="11" t="n"/>
      <c r="J62" s="11" t="n"/>
      <c r="K62" s="12" t="n"/>
      <c r="L62" s="11" t="n"/>
    </row>
    <row r="63">
      <c r="A63" s="11" t="n"/>
      <c r="B63" s="11" t="n"/>
      <c r="C63" s="13" t="n"/>
      <c r="D63" s="11" t="n"/>
      <c r="E63" s="11" t="n"/>
      <c r="F63" s="11" t="n"/>
      <c r="G63" s="11" t="n"/>
      <c r="H63" s="11" t="n"/>
      <c r="I63" s="11" t="n"/>
      <c r="J63" s="11" t="n"/>
      <c r="K63" s="12" t="n"/>
      <c r="L63" s="11" t="n"/>
    </row>
    <row r="64">
      <c r="A64" s="11" t="n"/>
      <c r="B64" s="11" t="n"/>
      <c r="C64" s="13" t="n"/>
      <c r="D64" s="11" t="n"/>
      <c r="E64" s="11" t="n"/>
      <c r="F64" s="11" t="n"/>
      <c r="G64" s="11" t="n"/>
      <c r="H64" s="11" t="n"/>
      <c r="I64" s="11" t="n"/>
      <c r="J64" s="11" t="n"/>
      <c r="K64" s="12" t="n"/>
      <c r="L64" s="11" t="n"/>
    </row>
    <row r="65">
      <c r="A65" s="11" t="n"/>
      <c r="B65" s="11" t="n"/>
      <c r="C65" s="13" t="n"/>
      <c r="D65" s="11" t="n"/>
      <c r="E65" s="11" t="n"/>
      <c r="F65" s="11" t="n"/>
      <c r="G65" s="11" t="n"/>
      <c r="H65" s="11" t="n"/>
      <c r="I65" s="11" t="n"/>
      <c r="J65" s="11" t="n"/>
      <c r="K65" s="12" t="n"/>
      <c r="L65" s="11" t="n"/>
    </row>
    <row r="66">
      <c r="A66" s="11" t="n"/>
      <c r="B66" s="11" t="n"/>
      <c r="C66" s="13" t="n"/>
      <c r="D66" s="11" t="n"/>
      <c r="E66" s="11" t="n"/>
      <c r="F66" s="11" t="n"/>
      <c r="G66" s="11" t="n"/>
      <c r="H66" s="11" t="n"/>
      <c r="I66" s="11" t="n"/>
      <c r="J66" s="11" t="n"/>
      <c r="K66" s="12" t="n"/>
      <c r="L66" s="11" t="n"/>
    </row>
    <row r="67">
      <c r="A67" s="11" t="n"/>
      <c r="B67" s="11" t="n"/>
      <c r="C67" s="13" t="n"/>
      <c r="D67" s="11" t="n"/>
      <c r="E67" s="11" t="n"/>
      <c r="F67" s="11" t="n"/>
      <c r="G67" s="11" t="n"/>
      <c r="H67" s="11" t="n"/>
      <c r="I67" s="11" t="n"/>
      <c r="J67" s="11" t="n"/>
      <c r="K67" s="12" t="n"/>
      <c r="L67" s="11" t="n"/>
    </row>
    <row r="68">
      <c r="A68" s="11" t="n"/>
      <c r="B68" s="11" t="n"/>
      <c r="C68" s="13" t="n"/>
      <c r="D68" s="11" t="n"/>
      <c r="E68" s="11" t="n"/>
      <c r="F68" s="11" t="n"/>
      <c r="G68" s="11" t="n"/>
      <c r="H68" s="11" t="n"/>
      <c r="I68" s="11" t="n"/>
      <c r="J68" s="11" t="n"/>
      <c r="K68" s="12" t="n"/>
      <c r="L68" s="11" t="n"/>
    </row>
    <row r="69">
      <c r="A69" s="11" t="n"/>
      <c r="B69" s="11" t="n"/>
      <c r="C69" s="13" t="n"/>
      <c r="D69" s="11" t="n"/>
      <c r="E69" s="11" t="n"/>
      <c r="F69" s="11" t="n"/>
      <c r="G69" s="11" t="n"/>
      <c r="H69" s="11" t="n"/>
      <c r="I69" s="11" t="n"/>
      <c r="J69" s="11" t="n"/>
      <c r="K69" s="12" t="n"/>
      <c r="L69" s="11" t="n"/>
    </row>
    <row r="70">
      <c r="A70" s="11" t="n"/>
      <c r="B70" s="11" t="n"/>
      <c r="C70" s="13" t="n"/>
      <c r="D70" s="11" t="n"/>
      <c r="E70" s="11" t="n"/>
      <c r="F70" s="11" t="n"/>
      <c r="G70" s="11" t="n"/>
      <c r="H70" s="11" t="n"/>
      <c r="I70" s="11" t="n"/>
      <c r="J70" s="11" t="n"/>
      <c r="K70" s="12" t="n"/>
      <c r="L70" s="11" t="n"/>
    </row>
    <row r="71">
      <c r="A71" s="11" t="n"/>
      <c r="B71" s="11" t="n"/>
      <c r="C71" s="13" t="n"/>
      <c r="D71" s="11" t="n"/>
      <c r="E71" s="11" t="n"/>
      <c r="F71" s="11" t="n"/>
      <c r="G71" s="11" t="n"/>
      <c r="H71" s="11" t="n"/>
      <c r="I71" s="11" t="n"/>
      <c r="J71" s="11" t="n"/>
      <c r="K71" s="12" t="n"/>
      <c r="L71" s="11" t="n"/>
    </row>
    <row r="72">
      <c r="A72" s="11" t="n"/>
      <c r="B72" s="11" t="n"/>
      <c r="C72" s="13" t="n"/>
      <c r="D72" s="11" t="n"/>
      <c r="E72" s="11" t="n"/>
      <c r="F72" s="11" t="n"/>
      <c r="G72" s="11" t="n"/>
      <c r="H72" s="11" t="n"/>
      <c r="I72" s="11" t="n"/>
      <c r="J72" s="11" t="n"/>
      <c r="K72" s="12" t="n"/>
      <c r="L72" s="11" t="n"/>
    </row>
    <row r="73">
      <c r="A73" s="11" t="n"/>
      <c r="B73" s="11" t="n"/>
      <c r="C73" s="13" t="n"/>
      <c r="D73" s="11" t="n"/>
      <c r="E73" s="11" t="n"/>
      <c r="F73" s="11" t="n"/>
      <c r="G73" s="11" t="n"/>
      <c r="H73" s="11" t="n"/>
      <c r="I73" s="11" t="n"/>
      <c r="J73" s="11" t="n"/>
      <c r="K73" s="12" t="n"/>
      <c r="L73" s="11" t="n"/>
    </row>
    <row r="74">
      <c r="A74" s="11" t="n"/>
      <c r="B74" s="11" t="n"/>
      <c r="C74" s="13" t="n"/>
      <c r="D74" s="11" t="n"/>
      <c r="E74" s="11" t="n"/>
      <c r="F74" s="11" t="n"/>
      <c r="G74" s="11" t="n"/>
      <c r="H74" s="11" t="n"/>
      <c r="I74" s="11" t="n"/>
      <c r="J74" s="11" t="n"/>
      <c r="K74" s="12" t="n"/>
      <c r="L74" s="11" t="n"/>
    </row>
    <row r="75">
      <c r="A75" s="11" t="n"/>
      <c r="B75" s="11" t="n"/>
      <c r="C75" s="13" t="n"/>
      <c r="D75" s="11" t="n"/>
      <c r="E75" s="11" t="n"/>
      <c r="F75" s="11" t="n"/>
      <c r="G75" s="11" t="n"/>
      <c r="H75" s="11" t="n"/>
      <c r="I75" s="11" t="n"/>
      <c r="J75" s="11" t="n"/>
      <c r="K75" s="12" t="n"/>
      <c r="L75" s="11" t="n"/>
    </row>
    <row r="76">
      <c r="A76" s="11" t="n"/>
      <c r="B76" s="11" t="n"/>
      <c r="C76" s="13" t="n"/>
      <c r="D76" s="11" t="n"/>
      <c r="E76" s="11" t="n"/>
      <c r="F76" s="11" t="n"/>
      <c r="G76" s="11" t="n"/>
      <c r="H76" s="11" t="n"/>
      <c r="I76" s="11" t="n"/>
      <c r="J76" s="11" t="n"/>
      <c r="K76" s="12" t="n"/>
      <c r="L76" s="11" t="n"/>
    </row>
    <row r="77">
      <c r="A77" s="11" t="n"/>
      <c r="B77" s="11" t="n"/>
      <c r="C77" s="13" t="n"/>
      <c r="D77" s="11" t="n"/>
      <c r="E77" s="11" t="n"/>
      <c r="F77" s="11" t="n"/>
      <c r="G77" s="11" t="n"/>
      <c r="H77" s="11" t="n"/>
      <c r="I77" s="11" t="n"/>
      <c r="J77" s="11" t="n"/>
      <c r="K77" s="12" t="n"/>
      <c r="L77" s="11" t="n"/>
    </row>
    <row r="78">
      <c r="A78" s="11" t="n"/>
      <c r="B78" s="11" t="n"/>
      <c r="C78" s="13" t="n"/>
      <c r="D78" s="11" t="n"/>
      <c r="E78" s="11" t="n"/>
      <c r="F78" s="11" t="n"/>
      <c r="G78" s="11" t="n"/>
      <c r="H78" s="11" t="n"/>
      <c r="I78" s="11" t="n"/>
      <c r="J78" s="11" t="n"/>
      <c r="K78" s="12" t="n"/>
      <c r="L78" s="11" t="n"/>
    </row>
    <row r="79">
      <c r="A79" s="11" t="n"/>
      <c r="B79" s="11" t="n"/>
      <c r="C79" s="13" t="n"/>
      <c r="D79" s="11" t="n"/>
      <c r="E79" s="11" t="n"/>
      <c r="F79" s="11" t="n"/>
      <c r="G79" s="11" t="n"/>
      <c r="H79" s="11" t="n"/>
      <c r="I79" s="11" t="n"/>
      <c r="J79" s="11" t="n"/>
      <c r="K79" s="12" t="n"/>
      <c r="L79" s="11" t="n"/>
    </row>
    <row r="80">
      <c r="A80" s="11" t="n"/>
      <c r="B80" s="11" t="n"/>
      <c r="C80" s="13" t="n"/>
      <c r="D80" s="11" t="n"/>
      <c r="E80" s="11" t="n"/>
      <c r="F80" s="11" t="n"/>
      <c r="G80" s="11" t="n"/>
      <c r="H80" s="11" t="n"/>
      <c r="I80" s="11" t="n"/>
      <c r="J80" s="11" t="n"/>
      <c r="K80" s="12" t="n"/>
      <c r="L80" s="11" t="n"/>
    </row>
    <row r="81">
      <c r="A81" s="11" t="n"/>
      <c r="B81" s="11" t="n"/>
      <c r="C81" s="13" t="n"/>
      <c r="D81" s="11" t="n"/>
      <c r="E81" s="11" t="n"/>
      <c r="F81" s="11" t="n"/>
      <c r="G81" s="11" t="n"/>
      <c r="H81" s="11" t="n"/>
      <c r="I81" s="11" t="n"/>
      <c r="J81" s="11" t="n"/>
      <c r="K81" s="12" t="n"/>
      <c r="L81" s="11" t="n"/>
    </row>
    <row r="82">
      <c r="A82" s="11" t="n"/>
      <c r="B82" s="11" t="n"/>
      <c r="C82" s="13" t="n"/>
      <c r="D82" s="11" t="n"/>
      <c r="E82" s="11" t="n"/>
      <c r="F82" s="11" t="n"/>
      <c r="G82" s="11" t="n"/>
      <c r="H82" s="11" t="n"/>
      <c r="I82" s="11" t="n"/>
      <c r="J82" s="11" t="n"/>
      <c r="K82" s="12" t="n"/>
      <c r="L82" s="11" t="n"/>
    </row>
    <row r="83">
      <c r="A83" s="11" t="n"/>
      <c r="B83" s="11" t="n"/>
      <c r="C83" s="13" t="n"/>
      <c r="D83" s="11" t="n"/>
      <c r="E83" s="11" t="n"/>
      <c r="F83" s="11" t="n"/>
      <c r="G83" s="11" t="n"/>
      <c r="H83" s="11" t="n"/>
      <c r="I83" s="11" t="n"/>
      <c r="J83" s="11" t="n"/>
      <c r="K83" s="12" t="n"/>
      <c r="L83" s="11" t="n"/>
    </row>
    <row r="84">
      <c r="A84" s="11" t="n"/>
      <c r="B84" s="11" t="n"/>
      <c r="C84" s="13" t="n"/>
      <c r="D84" s="11" t="n"/>
      <c r="E84" s="11" t="n"/>
      <c r="F84" s="11" t="n"/>
      <c r="G84" s="11" t="n"/>
      <c r="H84" s="11" t="n"/>
      <c r="I84" s="11" t="n"/>
      <c r="J84" s="11" t="n"/>
      <c r="K84" s="12" t="n"/>
      <c r="L84" s="11" t="n"/>
    </row>
    <row r="85">
      <c r="A85" s="11" t="n"/>
      <c r="B85" s="11" t="n"/>
      <c r="C85" s="13" t="n"/>
      <c r="D85" s="11" t="n"/>
      <c r="E85" s="11" t="n"/>
      <c r="F85" s="11" t="n"/>
      <c r="G85" s="11" t="n"/>
      <c r="H85" s="11" t="n"/>
      <c r="I85" s="11" t="n"/>
      <c r="J85" s="11" t="n"/>
      <c r="K85" s="12" t="n"/>
      <c r="L85" s="11" t="n"/>
    </row>
    <row r="86">
      <c r="A86" s="11" t="n"/>
      <c r="B86" s="11" t="n"/>
      <c r="C86" s="13" t="n"/>
      <c r="D86" s="11" t="n"/>
      <c r="E86" s="11" t="n"/>
      <c r="F86" s="11" t="n"/>
      <c r="G86" s="11" t="n"/>
      <c r="H86" s="11" t="n"/>
      <c r="I86" s="11" t="n"/>
      <c r="J86" s="11" t="n"/>
      <c r="K86" s="12" t="n"/>
      <c r="L86" s="11" t="n"/>
    </row>
    <row r="87">
      <c r="A87" s="11" t="n"/>
      <c r="B87" s="11" t="n"/>
      <c r="C87" s="13" t="n"/>
      <c r="D87" s="11" t="n"/>
      <c r="E87" s="11" t="n"/>
      <c r="F87" s="11" t="n"/>
      <c r="G87" s="11" t="n"/>
      <c r="H87" s="11" t="n"/>
      <c r="I87" s="11" t="n"/>
      <c r="J87" s="11" t="n"/>
      <c r="K87" s="12" t="n"/>
      <c r="L87" s="11" t="n"/>
    </row>
    <row r="88">
      <c r="A88" s="11" t="n"/>
      <c r="B88" s="11" t="n"/>
      <c r="C88" s="13" t="n"/>
      <c r="D88" s="11" t="n"/>
      <c r="E88" s="11" t="n"/>
      <c r="F88" s="11" t="n"/>
      <c r="G88" s="11" t="n"/>
      <c r="H88" s="11" t="n"/>
      <c r="I88" s="11" t="n"/>
      <c r="J88" s="11" t="n"/>
      <c r="K88" s="12" t="n"/>
      <c r="L88" s="11" t="n"/>
    </row>
    <row r="89">
      <c r="A89" s="11" t="n"/>
      <c r="B89" s="11" t="n"/>
      <c r="C89" s="13" t="n"/>
      <c r="D89" s="11" t="n"/>
      <c r="E89" s="11" t="n"/>
      <c r="F89" s="11" t="n"/>
      <c r="G89" s="11" t="n"/>
      <c r="H89" s="11" t="n"/>
      <c r="I89" s="11" t="n"/>
      <c r="J89" s="11" t="n"/>
      <c r="K89" s="12" t="n"/>
      <c r="L89" s="11" t="n"/>
    </row>
    <row r="90">
      <c r="A90" s="11" t="n"/>
      <c r="B90" s="11" t="n"/>
      <c r="C90" s="13" t="n"/>
      <c r="D90" s="11" t="n"/>
      <c r="E90" s="11" t="n"/>
      <c r="F90" s="11" t="n"/>
      <c r="G90" s="11" t="n"/>
      <c r="H90" s="11" t="n"/>
      <c r="I90" s="11" t="n"/>
      <c r="J90" s="11" t="n"/>
      <c r="K90" s="12" t="n"/>
      <c r="L90" s="11" t="n"/>
    </row>
    <row r="91">
      <c r="A91" s="11" t="n"/>
      <c r="B91" s="11" t="n"/>
      <c r="C91" s="13" t="n"/>
      <c r="D91" s="11" t="n"/>
      <c r="E91" s="11" t="n"/>
      <c r="F91" s="11" t="n"/>
      <c r="G91" s="11" t="n"/>
      <c r="H91" s="11" t="n"/>
      <c r="I91" s="11" t="n"/>
      <c r="J91" s="11" t="n"/>
      <c r="K91" s="12" t="n"/>
      <c r="L91" s="11" t="n"/>
    </row>
    <row r="92">
      <c r="A92" s="11" t="n"/>
      <c r="B92" s="11" t="n"/>
      <c r="C92" s="13" t="n"/>
      <c r="D92" s="11" t="n"/>
      <c r="E92" s="11" t="n"/>
      <c r="F92" s="11" t="n"/>
      <c r="G92" s="11" t="n"/>
      <c r="H92" s="11" t="n"/>
      <c r="I92" s="11" t="n"/>
      <c r="J92" s="11" t="n"/>
      <c r="K92" s="12" t="n"/>
      <c r="L92" s="11" t="n"/>
    </row>
    <row r="93">
      <c r="A93" s="11" t="n"/>
      <c r="B93" s="11" t="n"/>
      <c r="C93" s="13" t="n"/>
      <c r="D93" s="11" t="n"/>
      <c r="E93" s="11" t="n"/>
      <c r="F93" s="11" t="n"/>
      <c r="G93" s="11" t="n"/>
      <c r="H93" s="11" t="n"/>
      <c r="I93" s="11" t="n"/>
      <c r="J93" s="11" t="n"/>
      <c r="K93" s="12" t="n"/>
      <c r="L93" s="11" t="n"/>
    </row>
    <row r="94">
      <c r="A94" s="11" t="n"/>
      <c r="B94" s="11" t="n"/>
      <c r="C94" s="13" t="n"/>
      <c r="D94" s="11" t="n"/>
      <c r="E94" s="11" t="n"/>
      <c r="F94" s="11" t="n"/>
      <c r="G94" s="11" t="n"/>
      <c r="H94" s="11" t="n"/>
      <c r="I94" s="11" t="n"/>
      <c r="J94" s="11" t="n"/>
      <c r="K94" s="12" t="n"/>
      <c r="L94" s="11" t="n"/>
    </row>
    <row r="95">
      <c r="A95" s="11" t="n"/>
      <c r="B95" s="11" t="n"/>
      <c r="C95" s="13" t="n"/>
      <c r="D95" s="11" t="n"/>
      <c r="E95" s="11" t="n"/>
      <c r="F95" s="11" t="n"/>
      <c r="G95" s="11" t="n"/>
      <c r="H95" s="11" t="n"/>
      <c r="I95" s="11" t="n"/>
      <c r="J95" s="11" t="n"/>
      <c r="K95" s="12" t="n"/>
      <c r="L95" s="11" t="n"/>
    </row>
    <row r="96">
      <c r="A96" s="11" t="n"/>
      <c r="B96" s="11" t="n"/>
      <c r="C96" s="13" t="n"/>
      <c r="D96" s="11" t="n"/>
      <c r="E96" s="11" t="n"/>
      <c r="F96" s="11" t="n"/>
      <c r="G96" s="11" t="n"/>
      <c r="H96" s="11" t="n"/>
      <c r="I96" s="11" t="n"/>
      <c r="J96" s="11" t="n"/>
      <c r="K96" s="12" t="n"/>
      <c r="L96" s="11" t="n"/>
    </row>
    <row r="97">
      <c r="A97" s="11" t="n"/>
      <c r="B97" s="11" t="n"/>
      <c r="C97" s="13" t="n"/>
      <c r="D97" s="11" t="n"/>
      <c r="E97" s="11" t="n"/>
      <c r="F97" s="11" t="n"/>
      <c r="G97" s="11" t="n"/>
      <c r="H97" s="11" t="n"/>
      <c r="I97" s="11" t="n"/>
      <c r="J97" s="11" t="n"/>
      <c r="K97" s="12" t="n"/>
      <c r="L97" s="11" t="n"/>
    </row>
    <row r="98">
      <c r="A98" s="11" t="n"/>
      <c r="B98" s="11" t="n"/>
      <c r="C98" s="13" t="n"/>
      <c r="D98" s="11" t="n"/>
      <c r="E98" s="11" t="n"/>
      <c r="F98" s="11" t="n"/>
      <c r="G98" s="11" t="n"/>
      <c r="H98" s="11" t="n"/>
      <c r="I98" s="11" t="n"/>
      <c r="J98" s="11" t="n"/>
      <c r="K98" s="12" t="n"/>
      <c r="L98" s="11" t="n"/>
    </row>
    <row r="99">
      <c r="A99" s="11" t="n"/>
      <c r="B99" s="11" t="n"/>
      <c r="C99" s="13" t="n"/>
      <c r="D99" s="11" t="n"/>
      <c r="E99" s="11" t="n"/>
      <c r="F99" s="11" t="n"/>
      <c r="G99" s="11" t="n"/>
      <c r="H99" s="11" t="n"/>
      <c r="I99" s="11" t="n"/>
      <c r="J99" s="11" t="n"/>
      <c r="K99" s="12" t="n"/>
      <c r="L99" s="11" t="n"/>
    </row>
    <row r="100">
      <c r="A100" s="11" t="n"/>
      <c r="B100" s="11" t="n"/>
      <c r="C100" s="13" t="n"/>
      <c r="D100" s="11" t="n"/>
      <c r="E100" s="11" t="n"/>
      <c r="F100" s="11" t="n"/>
      <c r="G100" s="11" t="n"/>
      <c r="H100" s="11" t="n"/>
      <c r="I100" s="11" t="n"/>
      <c r="J100" s="11" t="n"/>
      <c r="K100" s="12" t="n"/>
      <c r="L100" s="11" t="n"/>
    </row>
    <row r="101">
      <c r="A101" s="11" t="n"/>
      <c r="B101" s="11" t="n"/>
      <c r="C101" s="13" t="n"/>
      <c r="D101" s="11" t="n"/>
      <c r="E101" s="11" t="n"/>
      <c r="F101" s="11" t="n"/>
      <c r="G101" s="11" t="n"/>
      <c r="H101" s="11" t="n"/>
      <c r="I101" s="11" t="n"/>
      <c r="J101" s="11" t="n"/>
      <c r="K101" s="12" t="n"/>
      <c r="L101" s="11" t="n"/>
    </row>
  </sheetData>
  <dataValidations count="3">
    <dataValidation sqref="E2:E101" showDropDown="0" showInputMessage="0" showErrorMessage="0" allowBlank="1" type="list">
      <formula1>"Bloquante,Majeure,Mineure"</formula1>
    </dataValidation>
    <dataValidation sqref="J2:J101" showDropDown="0" showInputMessage="0" showErrorMessage="0" allowBlank="1" type="list">
      <formula1>"Ouverte,En correction,Corrigée,Vérifiée,Fermée"</formula1>
    </dataValidation>
    <dataValidation sqref="L2:L101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2026-10-05T02:43:20Z</dcterms:created>
  <dcterms:modified xmlns:dcterms="http://purl.org/dc/terms/" xmlns:xsi="http://www.w3.org/2001/XMLSchema-instance" xsi:type="dcterms:W3CDTF">2026-10-05T02:43:20Z</dcterms:modified>
</cp:coreProperties>
</file>