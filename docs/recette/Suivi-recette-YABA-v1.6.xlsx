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test'!$A$2:$A$187,"Transverse")</f>
        <v/>
      </c>
      <c r="C4" s="4">
        <f>COUNTIFS('Cas de test'!$A$2:$A$187,"Transverse",'Cas de test'!$J$2:$J$187,"OK")</f>
        <v/>
      </c>
      <c r="D4" s="4">
        <f>COUNTIFS('Cas de test'!$A$2:$A$187,"Transverse",'Cas de test'!$J$2:$J$187,"KO")</f>
        <v/>
      </c>
      <c r="E4" s="4">
        <f>COUNTIFS('Cas de test'!$A$2:$A$187,"Transverse",'Cas de test'!$J$2:$J$187,"Bloqué")</f>
        <v/>
      </c>
      <c r="F4" s="4">
        <f>COUNTIFS('Cas de test'!$A$2:$A$187,"Transverse",'Cas de test'!$J$2:$J$187,"NT")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test'!$A$2:$A$187,"Parcours rôle")</f>
        <v/>
      </c>
      <c r="C5" s="4">
        <f>COUNTIFS('Cas de test'!$A$2:$A$187,"Parcours rôle",'Cas de test'!$J$2:$J$187,"OK")</f>
        <v/>
      </c>
      <c r="D5" s="4">
        <f>COUNTIFS('Cas de test'!$A$2:$A$187,"Parcours rôle",'Cas de test'!$J$2:$J$187,"KO")</f>
        <v/>
      </c>
      <c r="E5" s="4">
        <f>COUNTIFS('Cas de test'!$A$2:$A$187,"Parcours rôle",'Cas de test'!$J$2:$J$187,"Bloqué")</f>
        <v/>
      </c>
      <c r="F5" s="4">
        <f>COUNTIFS('Cas de test'!$A$2:$A$187,"Parcours rôle",'Cas de test'!$J$2:$J$187,"NT")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test'!$A$2:$A$187,"Bout en bout")</f>
        <v/>
      </c>
      <c r="C6" s="4">
        <f>COUNTIFS('Cas de test'!$A$2:$A$187,"Bout en bout",'Cas de test'!$J$2:$J$187,"OK")</f>
        <v/>
      </c>
      <c r="D6" s="4">
        <f>COUNTIFS('Cas de test'!$A$2:$A$187,"Bout en bout",'Cas de test'!$J$2:$J$187,"KO")</f>
        <v/>
      </c>
      <c r="E6" s="4">
        <f>COUNTIFS('Cas de test'!$A$2:$A$187,"Bout en bout",'Cas de test'!$J$2:$J$187,"Bloqué")</f>
        <v/>
      </c>
      <c r="F6" s="4">
        <f>COUNTIFS('Cas de test'!$A$2:$A$187,"Bout en bout",'Cas de test'!$J$2:$J$187,"NT")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Transverse</t>
        </is>
      </c>
      <c r="B27" s="10" t="inlineStr">
        <is>
          <t>TR-26</t>
        </is>
      </c>
      <c r="C27" s="10" t="inlineStr">
        <is>
          <t>Tous</t>
        </is>
      </c>
      <c r="D27" s="10" t="inlineStr">
        <is>
          <t>Aide de l'écran (bouton « ? »)</t>
        </is>
      </c>
      <c r="E27" s="10" t="inlineStr">
        <is>
          <t>Connecté</t>
        </is>
      </c>
      <c r="F27" s="10" t="inlineStr">
        <is>
          <t>Sur 3 écrans différents, cliquer « ? » en haut à droite ; fermer par Échap puis par clic hors du panneau ; basculer en EN et rouvrir</t>
        </is>
      </c>
      <c r="G27" s="10" t="inlineStr">
        <is>
          <t>Le panneau affiche l'aide de l'écran courant (titre, étapes, astuce) dans la langue choisie ; liens Centre d'aide, Assistant, Signaler un problème ; écran sans fiche : message explicite, jamais d'erreur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Transverse</t>
        </is>
      </c>
      <c r="B28" s="10" t="inlineStr">
        <is>
          <t>TR-27</t>
        </is>
      </c>
      <c r="C28" s="10" t="inlineStr">
        <is>
          <t>Tous</t>
        </is>
      </c>
      <c r="D28" s="10" t="inlineStr">
        <is>
          <t>Centre d'aide et recherche</t>
        </is>
      </c>
      <c r="E28" s="10" t="inlineStr">
        <is>
          <t>Connecté</t>
        </is>
      </c>
      <c r="F28" s="10" t="inlineStr">
        <is>
          <t>Menu &gt; Centre d'aide (/aide) ; parcourir les sections ; rechercher « 2FA » puis « libelles » (sans accent) ; ouvrir une fiche et « Ouvrir l'écran »</t>
        </is>
      </c>
      <c r="G28" s="10" t="inlineStr">
        <is>
          <t>Sections rangées comme le menu du compte + « Pour tous » ; aucune fiche d'un écran hors de ses droits ; recherche insensible aux accents et à la casse, fiches trouvées ouvertes ; le bouton mène au bon écran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Transverse</t>
        </is>
      </c>
      <c r="B29" s="10" t="inlineStr">
        <is>
          <t>TR-28</t>
        </is>
      </c>
      <c r="C29" s="10" t="inlineStr">
        <is>
          <t>Tous</t>
        </is>
      </c>
      <c r="D29" s="10" t="inlineStr">
        <is>
          <t>Info-bulles des champs</t>
        </is>
      </c>
      <c r="E29" s="10" t="inlineStr">
        <is>
          <t>Formulaire de demande de compte, demande Import, écran 2FA</t>
        </is>
      </c>
      <c r="F29" s="10" t="inlineStr">
        <is>
          <t>Survoler puis atteindre au clavier (Tab) le « ? » à côté de RCCM, N° de BL, code 2FA ; refaire en affichage mobile (375 px)</t>
        </is>
      </c>
      <c r="G29" s="10" t="inlineStr">
        <is>
          <t>L'explication s'affiche au survol ET au focus, disparaît en quittant ; lue par le lecteur d'écran ; la bulle reste entièrement visible à l'écran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Transverse</t>
        </is>
      </c>
      <c r="B30" s="10" t="inlineStr">
        <is>
          <t>TR-29</t>
        </is>
      </c>
      <c r="C30" s="10" t="inlineStr">
        <is>
          <t>Tous</t>
        </is>
      </c>
      <c r="D30" s="10" t="inlineStr">
        <is>
          <t>Visite guidée</t>
        </is>
      </c>
      <c r="E30" s="10" t="inlineStr">
        <is>
          <t>Compte qui ne l'a jamais vue (ou autre navigateur)</t>
        </is>
      </c>
      <c r="F30" s="10" t="inlineStr">
        <is>
          <t>Se connecter et ouvrir une page de travail ; suivre les étapes avec Suivant, puis avec les flèches ; fermer par Échap ; recharger ; « ? » &gt; « Revoir la visite guidée »</t>
        </is>
      </c>
      <c r="G30" s="10" t="inlineStr">
        <is>
          <t>La visite démarre seule (jamais pendant l'activation 2FA) ; chaque étape entoure l'élément présenté ; étapes sans objet sautées (ex. espace unique) ; après fermeture elle ne revient plus ; relance possible depuis « ? »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Transverse</t>
        </is>
      </c>
      <c r="B31" s="10" t="inlineStr">
        <is>
          <t>TR-30</t>
        </is>
      </c>
      <c r="C31" s="10" t="inlineStr">
        <is>
          <t>Tous</t>
        </is>
      </c>
      <c r="D31" s="10" t="inlineStr">
        <is>
          <t>Parler à un conseiller</t>
        </is>
      </c>
      <c r="E31" s="10" t="inlineStr">
        <is>
          <t>Compte client avec au moins un dossier</t>
        </is>
      </c>
      <c r="F31" s="10" t="inlineStr">
        <is>
          <t>Ouvrir l'assistant ; poser une question ; cliquer « Parler à un conseiller » ; saisir le NUMÉRO du dossier (tel qu'affiché dans Mes demandes) ; « Transmettre à un opérateur »</t>
        </is>
      </c>
      <c r="G31" s="10" t="inlineStr">
        <is>
          <t>Conversation transmise et visible dans le dossier ; un numéro inconnu ou d'une autre société est refusé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Transverse</t>
        </is>
      </c>
      <c r="B32" s="10" t="inlineStr">
        <is>
          <t>TR-31</t>
        </is>
      </c>
      <c r="C32" s="10" t="inlineStr">
        <is>
          <t>Tous</t>
        </is>
      </c>
      <c r="D32" s="10" t="inlineStr">
        <is>
          <t>Assistant tolérant</t>
        </is>
      </c>
      <c r="E32" s="10" t="inlineStr">
        <is>
          <t>Compte client</t>
        </is>
      </c>
      <c r="F32" s="10" t="inlineStr">
        <is>
          <t>Demander à l'assistant « reclammation » (faute de frappe), puis « RECLAMATION » sans accent</t>
        </is>
      </c>
      <c r="G32" s="10" t="inlineStr">
        <is>
          <t>Réponse sur les réclamations dans les deux cas, avec la ligne « Source : base de connaissances YABA … »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Transverse</t>
        </is>
      </c>
      <c r="B33" s="10" t="inlineStr">
        <is>
          <t>TR-32</t>
        </is>
      </c>
      <c r="C33" s="10" t="inlineStr">
        <is>
          <t>Tous</t>
        </is>
      </c>
      <c r="D33" s="10" t="inlineStr">
        <is>
          <t>Historique lisible</t>
        </is>
      </c>
      <c r="E33" s="10" t="inlineStr">
        <is>
          <t>Un ticket avec plusieurs étapes</t>
        </is>
      </c>
      <c r="F33" s="10" t="inlineStr">
        <is>
          <t>Ouvrir l'onglet Historique d'une fiche</t>
        </is>
      </c>
      <c r="G33" s="10" t="inlineStr">
        <is>
          <t>Libellés accentués (« Document déposé », « Ticket pris en charge ») ; jamais d'identifiant technique (operateur=…) ; détails traduits (« N° BL : … »)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Transverse</t>
        </is>
      </c>
      <c r="B34" s="10" t="inlineStr">
        <is>
          <t>TR-33</t>
        </is>
      </c>
      <c r="C34" s="10" t="inlineStr">
        <is>
          <t>Tous</t>
        </is>
      </c>
      <c r="D34" s="10" t="inlineStr">
        <is>
          <t>En-tête sur portable</t>
        </is>
      </c>
      <c r="E34" s="10" t="inlineStr">
        <is>
          <t>Fenêtre de 1280 à 1440 px</t>
        </is>
      </c>
      <c r="F34" s="10" t="inlineStr">
        <is>
          <t>Parcourir quelques pages avec un compte au nom ou à l'e-mail long</t>
        </is>
      </c>
      <c r="G34" s="10" t="inlineStr">
        <is>
          <t>Aucun défilement horizontal ; compteur de notifications « 99+ » lisible ; langue et thème sur une ligne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Transverse</t>
        </is>
      </c>
      <c r="B35" s="10" t="inlineStr">
        <is>
          <t>TR-34</t>
        </is>
      </c>
      <c r="C35" s="10" t="inlineStr">
        <is>
          <t>Tous</t>
        </is>
      </c>
      <c r="D35" s="10" t="inlineStr">
        <is>
          <t>Bulle de l'assistant</t>
        </is>
      </c>
      <c r="E35" s="10" t="inlineStr">
        <is>
          <t>Liste longue (demandes, files)</t>
        </is>
      </c>
      <c r="F35" s="10" t="inlineStr">
        <is>
          <t>Faire défiler jusqu'en bas</t>
        </is>
      </c>
      <c r="G35" s="10" t="inlineStr">
        <is>
          <t>La bulle de l'assistant ne masque jamais le dernier bouton ; l'assistant s'ouvre sur le dernier message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R01-01</t>
        </is>
      </c>
      <c r="C36" s="10" t="inlineStr">
        <is>
          <t>R01 Visiteur / prospect</t>
        </is>
      </c>
      <c r="D36" s="10" t="inlineStr">
        <is>
          <t>Demande d'ouverture de compte société</t>
        </is>
      </c>
      <c r="E36" s="10" t="inlineStr"/>
      <c r="F36" s="10" t="inlineStr">
        <is>
          <t>/comptes/soumettre : remplir raison sociale, RCCM, contact ; déposer les pièces exigées</t>
        </is>
      </c>
      <c r="G36" s="10" t="inlineStr">
        <is>
          <t>Message « compte activé après validation par CIT, vous recevrez un e-mail » ; AUCUN bouton « Se connecter » ; demande en attente chez l'administrateur (R18)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R01-02</t>
        </is>
      </c>
      <c r="C37" s="10" t="inlineStr">
        <is>
          <t>R01 Visiteur / prospect</t>
        </is>
      </c>
      <c r="D37" s="10" t="inlineStr">
        <is>
          <t>Pièce obligatoire manquante</t>
        </is>
      </c>
      <c r="E37" s="10" t="inlineStr"/>
      <c r="F37" s="10" t="inlineStr">
        <is>
          <t>Soumettre sans une pièce exigée</t>
        </is>
      </c>
      <c r="G37" s="10" t="inlineStr">
        <is>
          <t>Blocage avec un message qui nomme la pièce manquante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R01-03</t>
        </is>
      </c>
      <c r="C38" s="10" t="inlineStr">
        <is>
          <t>R01 Visiteur / prospect</t>
        </is>
      </c>
      <c r="D38" s="10" t="inlineStr">
        <is>
          <t>Demande de compte transporteur</t>
        </is>
      </c>
      <c r="E38" s="10" t="inlineStr"/>
      <c r="F38" s="10" t="inlineStr">
        <is>
          <t>Accueil : « Ouvrir un compte transporteur » (l'ancienne adresse /comptes/inscription-transporteur y mène aussi) ; vérifier le profil « Transporteur » présélectionné ; déposer l'agrément de transport ; envoyer</t>
        </is>
      </c>
      <c r="G38" s="10" t="inlineStr">
        <is>
          <t>Demande en attente de validation CIT, comme une société ; aucun accès avant validation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R01-04</t>
        </is>
      </c>
      <c r="C39" s="10" t="inlineStr">
        <is>
          <t>R01 Visiteur / prospect</t>
        </is>
      </c>
      <c r="D39" s="10" t="inlineStr">
        <is>
          <t>Invitation collaborateur</t>
        </is>
      </c>
      <c r="E39" s="10" t="inlineStr"/>
      <c r="F39" s="10" t="inlineStr">
        <is>
          <t>Ouvrir le lien /comptes/invitation/… reçu par e-mail ; définir le mot de passe</t>
        </is>
      </c>
      <c r="G39" s="10" t="inlineStr">
        <is>
          <t>Connexion directe sans ressaisir le mot de passe : configuration de la 2FA puis tableau de bord ; compte rattaché à la bonne société ; lien réutilisé refusé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R01-05</t>
        </is>
      </c>
      <c r="C40" s="10" t="inlineStr">
        <is>
          <t>R01 Visiteur / prospect</t>
        </is>
      </c>
      <c r="D40" s="10" t="inlineStr">
        <is>
          <t>Demande de compte : identité structurée</t>
        </is>
      </c>
      <c r="E40" s="10" t="inlineStr"/>
      <c r="F40" s="10" t="inlineStr">
        <is>
          <t>/comptes/soumettre : renseigner Raison sociale et N° RCCM (ex. « ci abj 2024 b 12345 »)</t>
        </is>
      </c>
      <c r="G40" s="10" t="inlineStr">
        <is>
          <t>Demande acceptée ; RCCM normalisé en CI-ABJ-2024-B-12345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R01-06</t>
        </is>
      </c>
      <c r="C41" s="10" t="inlineStr">
        <is>
          <t>R01 Visiteur / prospect</t>
        </is>
      </c>
      <c r="D41" s="10" t="inlineStr">
        <is>
          <t>RCCM invalide ou déjà utilisé</t>
        </is>
      </c>
      <c r="E41" s="10" t="inlineStr"/>
      <c r="F41" s="10" t="inlineStr">
        <is>
          <t>Soumettre avec un RCCM mal formé, puis avec le RCCM d'une société existante</t>
        </is>
      </c>
      <c r="G41" s="10" t="inlineStr">
        <is>
          <t>Refus avec message clair ; aucun compte utilisateur orphelin créé (l'e-mail reste réutilisable)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R01-07</t>
        </is>
      </c>
      <c r="C42" s="10" t="inlineStr">
        <is>
          <t>R01 Visiteur / prospect</t>
        </is>
      </c>
      <c r="D42" s="10" t="inlineStr">
        <is>
          <t>Pièces selon le profil</t>
        </is>
      </c>
      <c r="E42" s="10" t="inlineStr"/>
      <c r="F42" s="10" t="inlineStr">
        <is>
          <t>Sur /comptes/soumettre, passer le profil de « Normal » à « Transporteur » puis revenir</t>
        </is>
      </c>
      <c r="G42" s="10" t="inlineStr">
        <is>
          <t>« Agrément de transport » n'apparaît que pour le profil Transporteur ; seules les pièces obligatoires du profil choisi bloquent l'envoi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R01-08</t>
        </is>
      </c>
      <c r="C43" s="10" t="inlineStr">
        <is>
          <t>R01 Visiteur / prospect</t>
        </is>
      </c>
      <c r="D43" s="10" t="inlineStr">
        <is>
          <t>Menu et accès interdit</t>
        </is>
      </c>
      <c r="E43" s="10" t="inlineStr"/>
      <c r="F43" s="10" t="inlineStr">
        <is>
          <t>Vérifier le menu ; saisir l'URL d'un écran d'un autre profil</t>
        </is>
      </c>
      <c r="G43" s="10" t="inlineStr">
        <is>
          <t>Menu limité au profil ; écran étranger refusé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R02-01</t>
        </is>
      </c>
      <c r="C44" s="10" t="inlineStr">
        <is>
          <t>R02 Client — utilisateur société</t>
        </is>
      </c>
      <c r="D44" s="10" t="inlineStr">
        <is>
          <t>Tableau de bord</t>
        </is>
      </c>
      <c r="E44" s="10" t="inlineStr"/>
      <c r="F44" s="10" t="inlineStr">
        <is>
          <t>/client/dashboard</t>
        </is>
      </c>
      <c r="G44" s="10" t="inlineStr">
        <is>
          <t>Indicateurs limités à la société de l'utilisateur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R02-02</t>
        </is>
      </c>
      <c r="C45" s="10" t="inlineStr">
        <is>
          <t>R02 Client — utilisateur société</t>
        </is>
      </c>
      <c r="D45" s="10" t="inlineStr">
        <is>
          <t>Soumettre une demande Import</t>
        </is>
      </c>
      <c r="E45" s="10" t="inlineStr"/>
      <c r="F45" s="10" t="inlineStr">
        <is>
          <t>Créer un dossier Import avec un BL ; déposer les documents</t>
        </is>
      </c>
      <c r="G45" s="10" t="inlineStr">
        <is>
          <t>Numéros de dossier et de ticket attribués ; statut « Soumis » horodaté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R02-03</t>
        </is>
      </c>
      <c r="C46" s="10" t="inlineStr">
        <is>
          <t>R02 Client — utilisateur société</t>
        </is>
      </c>
      <c r="D46" s="10" t="inlineStr">
        <is>
          <t>Soumettre une demande Export</t>
        </is>
      </c>
      <c r="E46" s="10" t="inlineStr"/>
      <c r="F46" s="10" t="inlineStr">
        <is>
          <t>Créer un dossier Export avec un booking</t>
        </is>
      </c>
      <c r="G46" s="10" t="inlineStr">
        <is>
          <t>Dossier créé et orienté vers le Back Office Export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R02-04</t>
        </is>
      </c>
      <c r="C47" s="10" t="inlineStr">
        <is>
          <t>R02 Client — utilisateur société</t>
        </is>
      </c>
      <c r="D47" s="10" t="inlineStr">
        <is>
          <t>Suivre ses demandes</t>
        </is>
      </c>
      <c r="E47" s="10" t="inlineStr"/>
      <c r="F47" s="10" t="inlineStr">
        <is>
          <t>/client/demandes : filtrer, paginer, ouvrir un dossier</t>
        </is>
      </c>
      <c r="G47" s="10" t="inlineStr">
        <is>
          <t>Chronologie complète et horodatée ; statut à jour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R02-05</t>
        </is>
      </c>
      <c r="C48" s="10" t="inlineStr">
        <is>
          <t>R02 Client — utilisateur société</t>
        </is>
      </c>
      <c r="D48" s="10" t="inlineStr">
        <is>
          <t>Répondre à un complément</t>
        </is>
      </c>
      <c r="E48" s="10" t="inlineStr"/>
      <c r="F48" s="10" t="inlineStr">
        <is>
          <t>Ticket « En attente client » : lire le bandeau « Action requise » ; ajouter un message et une pièce ; cliquer « Marquer complément fourni »</t>
        </is>
      </c>
      <c r="G48" s="10" t="inlineStr">
        <is>
          <t>Le bandeau affiche « Demande de l'agent : … » (le motif saisi par l'agent) ; un seul bouton de reprise côté client ; le ticket revient chez l'agent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R02-06</t>
        </is>
      </c>
      <c r="C49" s="10" t="inlineStr">
        <is>
          <t>R02 Client — utilisateur société</t>
        </is>
      </c>
      <c r="D49" s="10" t="inlineStr">
        <is>
          <t>Consulter une pièce</t>
        </is>
      </c>
      <c r="E49" s="10" t="inlineStr"/>
      <c r="F49" s="10" t="inlineStr">
        <is>
          <t>/tickets/{id}/documents : Ouvrir puis Télécharger</t>
        </is>
      </c>
      <c r="G49" s="10" t="inlineStr">
        <is>
          <t>Aperçu et téléchargement OK ; pièce d'une autre société inaccessible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R02-07</t>
        </is>
      </c>
      <c r="C50" s="10" t="inlineStr">
        <is>
          <t>R02 Client — utilisateur société</t>
        </is>
      </c>
      <c r="D50" s="10" t="inlineStr">
        <is>
          <t>Exporter ses demandes</t>
        </is>
      </c>
      <c r="E50" s="10" t="inlineStr"/>
      <c r="F50" s="10" t="inlineStr">
        <is>
          <t>Boutons CSV et Excel</t>
        </is>
      </c>
      <c r="G50" s="10" t="inlineStr">
        <is>
          <t>Fichier conforme, limité à sa société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R02-08</t>
        </is>
      </c>
      <c r="C51" s="10" t="inlineStr">
        <is>
          <t>R02 Client — utilisateur société</t>
        </is>
      </c>
      <c r="D51" s="10" t="inlineStr">
        <is>
          <t>Simulation proforma</t>
        </is>
      </c>
      <c r="E51" s="10" t="inlineStr"/>
      <c r="F51" s="10" t="inlineStr">
        <is>
          <t>/simulation/proforma : saisir des conteneurs, calculer ; historique ; ouvrir le PDF en aperçu</t>
        </is>
      </c>
      <c r="G51" s="10" t="inlineStr">
        <is>
          <t>Montants conformes à la grille active ; mention légale ; PDF lisible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R02-09</t>
        </is>
      </c>
      <c r="C52" s="10" t="inlineStr">
        <is>
          <t>R02 Client — utilisateur société</t>
        </is>
      </c>
      <c r="D52" s="10" t="inlineStr">
        <is>
          <t>Réclamation</t>
        </is>
      </c>
      <c r="E52" s="10" t="inlineStr"/>
      <c r="F52" s="10" t="inlineStr">
        <is>
          <t>/reclamations/mes-reclamations : créer une réclamation avec catégorie et pièce</t>
        </is>
      </c>
      <c r="G52" s="10" t="inlineStr">
        <is>
          <t>Réclamation enregistrée et suivie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R02-10</t>
        </is>
      </c>
      <c r="C53" s="10" t="inlineStr">
        <is>
          <t>R02 Client — utilisateur société</t>
        </is>
      </c>
      <c r="D53" s="10" t="inlineStr">
        <is>
          <t>Avoir / Exonération</t>
        </is>
      </c>
      <c r="E53" s="10" t="inlineStr"/>
      <c r="F53" s="10" t="inlineStr">
        <is>
          <t>/avoir-exoneration/mes-demandes : déposer une demande d'avoir</t>
        </is>
      </c>
      <c r="G53" s="10" t="inlineStr">
        <is>
          <t>Demande suivie jusqu'à la décision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R02-11</t>
        </is>
      </c>
      <c r="C54" s="10" t="inlineStr">
        <is>
          <t>R02 Client — utilisateur société</t>
        </is>
      </c>
      <c r="D54" s="10" t="inlineStr">
        <is>
          <t>Rendez-vous guichet</t>
        </is>
      </c>
      <c r="E54" s="10" t="inlineStr"/>
      <c r="F54" s="10" t="inlineStr">
        <is>
          <t>/rendez-vous/mes-rendez-vous : réserver, reporter, annuler</t>
        </is>
      </c>
      <c r="G54" s="10" t="inlineStr">
        <is>
          <t>Créneau réservé ; report et annulation tracés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R02-12</t>
        </is>
      </c>
      <c r="C55" s="10" t="inlineStr">
        <is>
          <t>R02 Client — utilisateur société</t>
        </is>
      </c>
      <c r="D55" s="10" t="inlineStr">
        <is>
          <t>Signaler un incident technique</t>
        </is>
      </c>
      <c r="E55" s="10" t="inlineStr"/>
      <c r="F55" s="10" t="inlineStr">
        <is>
          <t>/support/incidents/signaler puis /support/incidents/mes-incidents</t>
        </is>
      </c>
      <c r="G55" s="10" t="inlineStr">
        <is>
          <t>Incident créé dans la file Support N1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R02-13</t>
        </is>
      </c>
      <c r="C56" s="10" t="inlineStr">
        <is>
          <t>R02 Client — utilisateur société</t>
        </is>
      </c>
      <c r="D56" s="10" t="inlineStr">
        <is>
          <t>Mes données</t>
        </is>
      </c>
      <c r="E56" s="10" t="inlineStr"/>
      <c r="F56" s="10" t="inlineStr">
        <is>
          <t>/comptes/mon-profil et /comptes/mes-donnees</t>
        </is>
      </c>
      <c r="G56" s="10" t="inlineStr">
        <is>
          <t>Données personnelles consultables ; modification tracée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R02-14</t>
        </is>
      </c>
      <c r="C57" s="10" t="inlineStr">
        <is>
          <t>R02 Client — utilisateur société</t>
        </is>
      </c>
      <c r="D57" s="10" t="inlineStr">
        <is>
          <t>Demander la facture</t>
        </is>
      </c>
      <c r="E57" s="10" t="inlineStr"/>
      <c r="F57" s="10" t="inlineStr">
        <is>
          <t>Dossier Import en étape Facturation : « Demander la facture »</t>
        </is>
      </c>
      <c r="G57" s="10" t="inlineStr">
        <is>
          <t>Demande tracée, visible par le Pilote Facturation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R02-15</t>
        </is>
      </c>
      <c r="C58" s="10" t="inlineStr">
        <is>
          <t>R02 Client — utilisateur société</t>
        </is>
      </c>
      <c r="D58" s="10" t="inlineStr">
        <is>
          <t>Déposer la preuve de paiement</t>
        </is>
      </c>
      <c r="E58" s="10" t="inlineStr"/>
      <c r="F58" s="10" t="inlineStr">
        <is>
          <t>Client de type Normal, facture émise : déposer la preuve de paiement dans le dossier</t>
        </is>
      </c>
      <c r="G58" s="10" t="inlineStr">
        <is>
          <t>Preuve jointe ; dossier à l'étape Validation du paiement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R02-16</t>
        </is>
      </c>
      <c r="C59" s="10" t="inlineStr">
        <is>
          <t>R02 Client — utilisateur société</t>
        </is>
      </c>
      <c r="D59" s="10" t="inlineStr">
        <is>
          <t>Notifications lisibles</t>
        </is>
      </c>
      <c r="E59" s="10" t="inlineStr"/>
      <c r="F59" s="10" t="inlineStr">
        <is>
          <t>Cloche puis /notifications : lire les libellés ; changer de page ; cliquer « Tout marquer comme lu »</t>
        </is>
      </c>
      <c r="G59" s="10" t="inlineStr">
        <is>
          <t>Types en clair (« Relance envoyée », « Dossier créé »), jamais de code ni d'adresse /tickets/… dans le message ; 10 notifications par page ; compteur à zéro après « Tout marquer comme lu »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R02-17</t>
        </is>
      </c>
      <c r="C60" s="10" t="inlineStr">
        <is>
          <t>R02 Client — utilisateur société</t>
        </is>
      </c>
      <c r="D60" s="10" t="inlineStr">
        <is>
          <t>Formulaire d'avoir : ce qui manque</t>
        </is>
      </c>
      <c r="E60" s="10" t="inlineStr"/>
      <c r="F60" s="10" t="inlineStr">
        <is>
          <t>/avoir-exoneration/soumettre : laisser l'objet, l'exposé et les pièces vides, puis les remplir un à un</t>
        </is>
      </c>
      <c r="G60" s="10" t="inlineStr">
        <is>
          <t>Sous le bouton grisé : « Pour soumettre, complétez : … » ; la liste se réduit à chaque saisie ; bouton actif quand tout est rempli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R02-18</t>
        </is>
      </c>
      <c r="C61" s="10" t="inlineStr">
        <is>
          <t>R02 Client — utilisateur société</t>
        </is>
      </c>
      <c r="D61" s="10" t="inlineStr">
        <is>
          <t>Pas d'enrôlement de flotte</t>
        </is>
      </c>
      <c r="E61" s="10" t="inlineStr"/>
      <c r="F61" s="10" t="inlineStr">
        <is>
          <t>Compte d'une société cliente « Normal » : parcourir le menu ; ouvrir /enrolement/societe/soumettre par l'URL</t>
        </is>
      </c>
      <c r="G61" s="10" t="inlineStr">
        <is>
          <t>Ni « Enrôler ma flotte » ni « Retrait d'accès flotte » au menu ; la page affiche « L'enrôlement de flotte est réservé aux entreprises de transport »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R02-19</t>
        </is>
      </c>
      <c r="C62" s="10" t="inlineStr">
        <is>
          <t>R02 Client — utilisateur société</t>
        </is>
      </c>
      <c r="D62" s="10" t="inlineStr">
        <is>
          <t>Relances espacées</t>
        </is>
      </c>
      <c r="E62" s="10" t="inlineStr"/>
      <c r="F62" s="10" t="inlineStr">
        <is>
          <t>Laisser un ticket « En attente client » sans réponse plusieurs jours</t>
        </is>
      </c>
      <c r="G62" s="10" t="inlineStr">
        <is>
          <t>Au plus une relance tous les 2 jours (3 au maximum), puis une suggestion de clôture à l'agent — jamais de rafale de rappels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R02-20</t>
        </is>
      </c>
      <c r="C63" s="10" t="inlineStr">
        <is>
          <t>R02 Client — utilisateur société</t>
        </is>
      </c>
      <c r="D63" s="10" t="inlineStr">
        <is>
          <t>Menu et accès interdit</t>
        </is>
      </c>
      <c r="E63" s="10" t="inlineStr"/>
      <c r="F63" s="10" t="inlineStr">
        <is>
          <t>Vérifier le menu ; saisir l'URL d'un écran d'un autre profil</t>
        </is>
      </c>
      <c r="G63" s="10" t="inlineStr">
        <is>
          <t>Menu limité au profil ; écran étranger refusé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R03-01</t>
        </is>
      </c>
      <c r="C64" s="10" t="inlineStr">
        <is>
          <t>R03 Administrateur société</t>
        </is>
      </c>
      <c r="D64" s="10" t="inlineStr">
        <is>
          <t>Tableau de bord société</t>
        </is>
      </c>
      <c r="E64" s="10" t="inlineStr"/>
      <c r="F64" s="10" t="inlineStr">
        <is>
          <t>/societe/dashboard</t>
        </is>
      </c>
      <c r="G64" s="10" t="inlineStr">
        <is>
          <t>Vue consolidée des demandes de la société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R03-02</t>
        </is>
      </c>
      <c r="C65" s="10" t="inlineStr">
        <is>
          <t>R03 Administrateur société</t>
        </is>
      </c>
      <c r="D65" s="10" t="inlineStr">
        <is>
          <t>Inviter un collaborateur</t>
        </is>
      </c>
      <c r="E65" s="10" t="inlineStr"/>
      <c r="F65" s="10" t="inlineStr">
        <is>
          <t>/societe/collaborateurs : inviter par e-mail</t>
        </is>
      </c>
      <c r="G65" s="10" t="inlineStr">
        <is>
          <t>E-mail d'invitation reçu ; collaborateur en attente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R03-03</t>
        </is>
      </c>
      <c r="C66" s="10" t="inlineStr">
        <is>
          <t>R03 Administrateur société</t>
        </is>
      </c>
      <c r="D66" s="10" t="inlineStr">
        <is>
          <t>Désactiver un collaborateur</t>
        </is>
      </c>
      <c r="E66" s="10" t="inlineStr"/>
      <c r="F66" s="10" t="inlineStr">
        <is>
          <t>Désactiver, puis tenter une connexion avec ce compte</t>
        </is>
      </c>
      <c r="G66" s="10" t="inlineStr">
        <is>
          <t>Connexion refusée ; historique conservé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R03-04</t>
        </is>
      </c>
      <c r="C67" s="10" t="inlineStr">
        <is>
          <t>R03 Administrateur société</t>
        </is>
      </c>
      <c r="D67" s="10" t="inlineStr">
        <is>
          <t>Profil société</t>
        </is>
      </c>
      <c r="E67" s="10" t="inlineStr"/>
      <c r="F67" s="10" t="inlineStr">
        <is>
          <t>/comptes/profil</t>
        </is>
      </c>
      <c r="G67" s="10" t="inlineStr">
        <is>
          <t>Informations affichées, date de création avec l'heure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R03-05</t>
        </is>
      </c>
      <c r="C68" s="10" t="inlineStr">
        <is>
          <t>R03 Administrateur société</t>
        </is>
      </c>
      <c r="D68" s="10" t="inlineStr">
        <is>
          <t>Rattacher un collaborateur par e-mail</t>
        </is>
      </c>
      <c r="E68" s="10" t="inlineStr"/>
      <c r="F68" s="10" t="inlineStr">
        <is>
          <t>/comptes/collaborateurs : saisir l'adresse e-mail d'un compte déjà inscrit ; « Rattacher à l'entreprise »</t>
        </is>
      </c>
      <c r="G68" s="10" t="inlineStr">
        <is>
          <t>Collaborateur rattaché ; une saisie qui n'est pas une adresse e-mail est refusée avec un message clair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R03-06</t>
        </is>
      </c>
      <c r="C69" s="10" t="inlineStr">
        <is>
          <t>R03 Administrateur société</t>
        </is>
      </c>
      <c r="D69" s="10" t="inlineStr">
        <is>
          <t>Pas d'auto-rétrogradation</t>
        </is>
      </c>
      <c r="E69" s="10" t="inlineStr"/>
      <c r="F69" s="10" t="inlineStr">
        <is>
          <t>Sur sa propre ligne (mention « (vous) »), chercher « Rétrograder » et « Désactiver »</t>
        </is>
      </c>
      <c r="G69" s="10" t="inlineStr">
        <is>
          <t>Ces deux actions sont absentes sur sa propre ligne ; elles restent disponibles pour les autres collaborateurs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R03-07</t>
        </is>
      </c>
      <c r="C70" s="10" t="inlineStr">
        <is>
          <t>R03 Administrateur société</t>
        </is>
      </c>
      <c r="D70" s="10" t="inlineStr">
        <is>
          <t>Menu et accès interdit</t>
        </is>
      </c>
      <c r="E70" s="10" t="inlineStr"/>
      <c r="F70" s="10" t="inlineStr">
        <is>
          <t>Vérifier le menu ; saisir l'URL d'un écran d'un autre profil</t>
        </is>
      </c>
      <c r="G70" s="10" t="inlineStr">
        <is>
          <t>Menu limité au profil ; écran étranger refusé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R04-01</t>
        </is>
      </c>
      <c r="C71" s="10" t="inlineStr">
        <is>
          <t>R04 Transporteur</t>
        </is>
      </c>
      <c r="D71" s="10" t="inlineStr">
        <is>
          <t>Menu d'une entreprise de transport</t>
        </is>
      </c>
      <c r="E71" s="10" t="inlineStr"/>
      <c r="F71" s="10" t="inlineStr">
        <is>
          <t>Se connecter avec le compte d'une entreprise de type Transporteur validée ; parcourir le menu ; ouvrir /billing-import/soumettre par l'URL et tenter d'envoyer</t>
        </is>
      </c>
      <c r="G71" s="10" t="inlineStr">
        <is>
          <t>Menu avec « Enrôler ma flotte » et « Retrait d'accès flotte » ; SANS Import, Export, Avoir, Proforma ni Rendez-vous ; l'envoi forcé d'une demande Import est refusé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R04-02</t>
        </is>
      </c>
      <c r="C72" s="10" t="inlineStr">
        <is>
          <t>R04 Transporteur</t>
        </is>
      </c>
      <c r="D72" s="10" t="inlineStr">
        <is>
          <t>Enrôler la flotte avec dates et pièces</t>
        </is>
      </c>
      <c r="E72" s="10" t="inlineStr"/>
      <c r="F72" s="10" t="inlineStr">
        <is>
          <t>/enrolement/societe/soumettre : un chauffeur (date du permis + photos permis recto, verso, pièce d'identité recto) et un camion (dates assurance et visite + carte grise recto, verso, attestation d'assurance) ; essayer d'envoyer avant de tout joindre</t>
        </is>
      </c>
      <c r="G72" s="10" t="inlineStr">
        <is>
          <t>Bouton d'envoi grisé tant qu'une date ou une pièce obligatoire manque (la pièce d'identité verso est facultative) ; puis un ticket par objet, pièces nommées « Permis de conduire (recto) — fichier » et analysées « Sain »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R04-03</t>
        </is>
      </c>
      <c r="C73" s="10" t="inlineStr">
        <is>
          <t>R04 Transporteur</t>
        </is>
      </c>
      <c r="D73" s="10" t="inlineStr">
        <is>
          <t>Document déjà expiré</t>
        </is>
      </c>
      <c r="E73" s="10" t="inlineStr"/>
      <c r="F73" s="10" t="inlineStr">
        <is>
          <t>Saisir une date d'expiration passée pour un permis, puis envoyer</t>
        </is>
      </c>
      <c r="G73" s="10" t="inlineStr">
        <is>
          <t>Refus avec un message qui nomme le document ; aucun ticket créé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R04-04</t>
        </is>
      </c>
      <c r="C74" s="10" t="inlineStr">
        <is>
          <t>R04 Transporteur</t>
        </is>
      </c>
      <c r="D74" s="10" t="inlineStr">
        <is>
          <t>Suivi</t>
        </is>
      </c>
      <c r="E74" s="10" t="inlineStr"/>
      <c r="F74" s="10" t="inlineStr">
        <is>
          <t>/enrolement/mes-enrolements ; fiche de l'enrôlement</t>
        </is>
      </c>
      <c r="G74" s="10" t="inlineStr">
        <is>
          <t>Statuts successifs horodatés ; convocation visible ; à la remise, numéro et date d'expiration du badge dans l'historique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R04-05</t>
        </is>
      </c>
      <c r="C75" s="10" t="inlineStr">
        <is>
          <t>R04 Transporteur</t>
        </is>
      </c>
      <c r="D75" s="10" t="inlineStr">
        <is>
          <t>Retrait</t>
        </is>
      </c>
      <c r="E75" s="10" t="inlineStr"/>
      <c r="F75" s="10" t="inlineStr">
        <is>
          <t>/enrolement/societe/retrait : choisir le type, puis le chauffeur ou camion dans la liste ; saisir un motif</t>
        </is>
      </c>
      <c r="G75" s="10" t="inlineStr">
        <is>
          <t>La liste ne propose que la flotte en service (badge remis, pas déjà retirée) ; « Autre (saisie libre)… » reste possible ; demande de retrait enregistrée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R04-06</t>
        </is>
      </c>
      <c r="C76" s="10" t="inlineStr">
        <is>
          <t>R04 Transporteur</t>
        </is>
      </c>
      <c r="D76" s="10" t="inlineStr">
        <is>
          <t>Rappels d'échéance</t>
        </is>
      </c>
      <c r="E76" s="10" t="inlineStr"/>
      <c r="F76" s="10" t="inlineStr">
        <is>
          <t>Équipe projet : déclarer un document expirant dans moins de 30 jours, attendre le passage du traitement automatique (12 h)</t>
        </is>
      </c>
      <c r="G76" s="10" t="inlineStr">
        <is>
          <t>Notification (cloche + e-mail) « Un document de votre flotte arrive à échéance » au représentant et à l'administrateur de l'entreprise ; un seul rappel par document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R04-07</t>
        </is>
      </c>
      <c r="C77" s="10" t="inlineStr">
        <is>
          <t>R04 Transporteur</t>
        </is>
      </c>
      <c r="D77" s="10" t="inlineStr">
        <is>
          <t>Ancien compte transporteur individuel</t>
        </is>
      </c>
      <c r="E77" s="10" t="inlineStr"/>
      <c r="F77" s="10" t="inlineStr">
        <is>
          <t>Se connecter avec un compte transporteur créé avant le 03/10/2026 (sans société)</t>
        </is>
      </c>
      <c r="G77" s="10" t="inlineStr">
        <is>
          <t>« Mes enrôlements » accessible ; bandeau « Nouveau circuit transporteurs » avec le bouton « Ouvrir le compte de mon entreprise »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R04-08</t>
        </is>
      </c>
      <c r="C78" s="10" t="inlineStr">
        <is>
          <t>R04 Transporteur</t>
        </is>
      </c>
      <c r="D78" s="10" t="inlineStr">
        <is>
          <t>Accès depuis l'Espace Entreprise</t>
        </is>
      </c>
      <c r="E78" s="10" t="inlineStr"/>
      <c r="F78" s="10" t="inlineStr">
        <is>
          <t>Se connecter : arrivée dans l'Espace Entreprise</t>
        </is>
      </c>
      <c r="G78" s="10" t="inlineStr">
        <is>
          <t>Menu « Dossiers de flotte », « Enrôler ma flotte », « Retrait d'accès flotte » ; bouton « 🚚 Enrôler ma flotte » sur le tableau de bord ; « Demandes de la société » propose « Enrôler ma flotte » (et non une demande Import)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R04-09</t>
        </is>
      </c>
      <c r="C79" s="10" t="inlineStr">
        <is>
          <t>R04 Transporteur</t>
        </is>
      </c>
      <c r="D79" s="10" t="inlineStr">
        <is>
          <t>Répondre à un complément avec pièces</t>
        </is>
      </c>
      <c r="E79" s="10" t="inlineStr"/>
      <c r="F79" s="10" t="inlineStr">
        <is>
          <t>Fiche d'un enrôlement « En attente client » : lire la demande de l'agent ; joindre deux fichiers et un message ; « Envoyer ma réponse »</t>
        </is>
      </c>
      <c r="G79" s="10" t="inlineStr">
        <is>
          <t>Encadré « Demande de l'agent : … » ; une seule zone de dépôt (PDF, JPG, PNG) ; « 2 documents déposés et analysés » ; le dossier repart chez l'Agent Gate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R04-10</t>
        </is>
      </c>
      <c r="C80" s="10" t="inlineStr">
        <is>
          <t>R04 Transporteur</t>
        </is>
      </c>
      <c r="D80" s="10" t="inlineStr">
        <is>
          <t>Menu et accès interdit</t>
        </is>
      </c>
      <c r="E80" s="10" t="inlineStr"/>
      <c r="F80" s="10" t="inlineStr">
        <is>
          <t>Vérifier le menu ; saisir l'URL d'un écran d'un autre profil</t>
        </is>
      </c>
      <c r="G80" s="10" t="inlineStr">
        <is>
          <t>Menu limité au profil ; écran étranger refusé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R05-01</t>
        </is>
      </c>
      <c r="C81" s="10" t="inlineStr">
        <is>
          <t>R05 Agent Pilote Manifeste (Import)</t>
        </is>
      </c>
      <c r="D81" s="10" t="inlineStr">
        <is>
          <t>File</t>
        </is>
      </c>
      <c r="E81" s="10" t="inlineStr"/>
      <c r="F81" s="10" t="inlineStr">
        <is>
          <t>/billing-import/manifeste : filtrer, paginer</t>
        </is>
      </c>
      <c r="G81" s="10" t="inlineStr">
        <is>
          <t>Uniquement les tickets de l'étape Manifeste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R05-02</t>
        </is>
      </c>
      <c r="C82" s="10" t="inlineStr">
        <is>
          <t>R05 Agent Pilote Manifeste (Import)</t>
        </is>
      </c>
      <c r="D82" s="10" t="inlineStr">
        <is>
          <t>Prendre en charge</t>
        </is>
      </c>
      <c r="E82" s="10" t="inlineStr"/>
      <c r="F82" s="10" t="inlineStr">
        <is>
          <t>Bouton Prendre en charge</t>
        </is>
      </c>
      <c r="G82" s="10" t="inlineStr">
        <is>
          <t>Ticket affecté à l'agent ; SLA démarré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R05-03</t>
        </is>
      </c>
      <c r="C83" s="10" t="inlineStr">
        <is>
          <t>R05 Agent Pilote Manifeste (Import)</t>
        </is>
      </c>
      <c r="D83" s="10" t="inlineStr">
        <is>
          <t>Demander un complément</t>
        </is>
      </c>
      <c r="E83" s="10" t="inlineStr"/>
      <c r="F83" s="10" t="inlineStr">
        <is>
          <t>Message au client + statut En attente client</t>
        </is>
      </c>
      <c r="G83" s="10" t="inlineStr">
        <is>
          <t>Client notifié ; SLA suspendu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R05-04</t>
        </is>
      </c>
      <c r="C84" s="10" t="inlineStr">
        <is>
          <t>R05 Agent Pilote Manifeste (Import)</t>
        </is>
      </c>
      <c r="D84" s="10" t="inlineStr">
        <is>
          <t>Valider l'étape</t>
        </is>
      </c>
      <c r="E84" s="10" t="inlineStr"/>
      <c r="F84" s="10" t="inlineStr">
        <is>
          <t>Valider le manifeste</t>
        </is>
      </c>
      <c r="G84" s="10" t="inlineStr">
        <is>
          <t>Passage à la Facturation (client IES : passage au circuit IES) ; historique horodaté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R05-05</t>
        </is>
      </c>
      <c r="C85" s="10" t="inlineStr">
        <is>
          <t>R05 Agent Pilote Manifeste (Import)</t>
        </is>
      </c>
      <c r="D85" s="10" t="inlineStr">
        <is>
          <t>Note interne</t>
        </is>
      </c>
      <c r="E85" s="10" t="inlineStr"/>
      <c r="F85" s="10" t="inlineStr">
        <is>
          <t>Ajouter une note interne</t>
        </is>
      </c>
      <c r="G85" s="10" t="inlineStr">
        <is>
          <t>Invisible côté client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R05-06</t>
        </is>
      </c>
      <c r="C86" s="10" t="inlineStr">
        <is>
          <t>R05 Agent Pilote Manifeste (Import)</t>
        </is>
      </c>
      <c r="D86" s="10" t="inlineStr">
        <is>
          <t>Rejeter une demande</t>
        </is>
      </c>
      <c r="E86" s="10" t="inlineStr"/>
      <c r="F86" s="10" t="inlineStr">
        <is>
          <t>Rejeter avec un motif (motif vide refusé)</t>
        </is>
      </c>
      <c r="G86" s="10" t="inlineStr">
        <is>
          <t>Ticket annulé (rejet manifeste) ; client notifié avec le motif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R05-07</t>
        </is>
      </c>
      <c r="C87" s="10" t="inlineStr">
        <is>
          <t>R05 Agent Pilote Manifeste (Import)</t>
        </is>
      </c>
      <c r="D87" s="10" t="inlineStr">
        <is>
          <t>Tableau de bord de l'agent</t>
        </is>
      </c>
      <c r="E87" s="10" t="inlineStr"/>
      <c r="F87" s="10" t="inlineStr">
        <is>
          <t>/agent/dashboard</t>
        </is>
      </c>
      <c r="G87" s="10" t="inlineStr">
        <is>
          <t>« Files de traitement actives » ≥ 1 avec la file Pilote Manifeste et son lien ; « Mes dossiers en cours » indique la vraie file et la vraie date de prise en charge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R05-08</t>
        </is>
      </c>
      <c r="C88" s="10" t="inlineStr">
        <is>
          <t>R05 Agent Pilote Manifeste (Import)</t>
        </is>
      </c>
      <c r="D88" s="10" t="inlineStr">
        <is>
          <t>Client visible et retour à la file</t>
        </is>
      </c>
      <c r="E88" s="10" t="inlineStr"/>
      <c r="F88" s="10" t="inlineStr">
        <is>
          <t>Dans la file : lire le client sous chaque BL ; ouvrir une fiche</t>
        </is>
      </c>
      <c r="G88" s="10" t="inlineStr">
        <is>
          <t>Nom de la société (et profil s'il n'est pas « Normal ») sous le BL ; sur la fiche, bouton « Instruire dans la file Pilote Manifeste → » à la place de « Prendre RDV Guichet »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R05-09</t>
        </is>
      </c>
      <c r="C89" s="10" t="inlineStr">
        <is>
          <t>R05 Agent Pilote Manifeste (Import)</t>
        </is>
      </c>
      <c r="D89" s="10" t="inlineStr">
        <is>
          <t>Menu et accès interdit</t>
        </is>
      </c>
      <c r="E89" s="10" t="inlineStr"/>
      <c r="F89" s="10" t="inlineStr">
        <is>
          <t>Vérifier le menu ; saisir l'URL d'un écran d'un autre profil</t>
        </is>
      </c>
      <c r="G89" s="10" t="inlineStr">
        <is>
          <t>Menu limité au profil ; écran étranger refusé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R06-01</t>
        </is>
      </c>
      <c r="C90" s="10" t="inlineStr">
        <is>
          <t>R06 Agent Contrôle documentaire (Import / Export)</t>
        </is>
      </c>
      <c r="D90" s="10" t="inlineStr">
        <is>
          <t>Contrôler les pièces</t>
        </is>
      </c>
      <c r="E90" s="10" t="inlineStr"/>
      <c r="F90" s="10" t="inlineStr">
        <is>
          <t>/billing-import/controle-documentaire ou /billing-export/controle-documentaire : ouvrir chaque pièce en aperçu</t>
        </is>
      </c>
      <c r="G90" s="10" t="inlineStr">
        <is>
          <t>Pièces lisibles sans téléchargement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R06-02</t>
        </is>
      </c>
      <c r="C91" s="10" t="inlineStr">
        <is>
          <t>R06 Agent Contrôle documentaire (Import / Export)</t>
        </is>
      </c>
      <c r="D91" s="10" t="inlineStr">
        <is>
          <t>Déposer les pièces de sortie</t>
        </is>
      </c>
      <c r="E91" s="10" t="inlineStr"/>
      <c r="F91" s="10" t="inlineStr">
        <is>
          <t>Dossier arrivé en Contrôle documentaire (paiement validé, lettrage confirmé ou client En compte) : Import « Dépôt BS / BADT &amp; Clôture », Export « Joindre BEE et clôturer »</t>
        </is>
      </c>
      <c r="G91" s="10" t="inlineStr">
        <is>
          <t>Pièces de sortie (BS/BADT à l'Import, BEE à l'Export) jointes et dossier clôturé en une seule action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R06-03</t>
        </is>
      </c>
      <c r="C92" s="10" t="inlineStr">
        <is>
          <t>R06 Agent Contrôle documentaire (Import / Export)</t>
        </is>
      </c>
      <c r="D92" s="10" t="inlineStr">
        <is>
          <t>Clôturer le dossier</t>
        </is>
      </c>
      <c r="E92" s="10" t="inlineStr"/>
      <c r="F92" s="10" t="inlineStr">
        <is>
          <t>Après le dépôt, rouvrir le dossier ; vérifier côté client</t>
        </is>
      </c>
      <c r="G92" s="10" t="inlineStr">
        <is>
          <t>Dossier « Clôturé », en lecture seule ; client notifié. C'est la dernière étape du circuit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R06-04</t>
        </is>
      </c>
      <c r="C93" s="10" t="inlineStr">
        <is>
          <t>R06 Agent Contrôle documentaire (Import / Export)</t>
        </is>
      </c>
      <c r="D93" s="10" t="inlineStr">
        <is>
          <t>Confirmation avant clôture</t>
        </is>
      </c>
      <c r="E93" s="10" t="inlineStr"/>
      <c r="F93" s="10" t="inlineStr">
        <is>
          <t>Choisir un fichier BS/BADT sur une ligne ; lire la fenêtre ; « Annuler », puis recommencer et « Déposer et valider »</t>
        </is>
      </c>
      <c r="G93" s="10" t="inlineStr">
        <is>
          <t>Fenêtre « Confirmer le dépôt » avec dossier, référence et nom du fichier ; « Annuler » ne clôture rien ; la clôture n'a lieu qu'après confirmation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R06-05</t>
        </is>
      </c>
      <c r="C94" s="10" t="inlineStr">
        <is>
          <t>R06 Agent Contrôle documentaire (Import / Export)</t>
        </is>
      </c>
      <c r="D94" s="10" t="inlineStr">
        <is>
          <t>Menu et accès interdit</t>
        </is>
      </c>
      <c r="E94" s="10" t="inlineStr"/>
      <c r="F94" s="10" t="inlineStr">
        <is>
          <t>Vérifier le menu ; saisir l'URL d'un écran d'un autre profil</t>
        </is>
      </c>
      <c r="G94" s="10" t="inlineStr">
        <is>
          <t>Menu limité au profil ; écran étranger refusé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R07-01</t>
        </is>
      </c>
      <c r="C95" s="10" t="inlineStr">
        <is>
          <t>R07 Agent Facturation (Import / Export)</t>
        </is>
      </c>
      <c r="D95" s="10" t="inlineStr">
        <is>
          <t>Éditer la facture</t>
        </is>
      </c>
      <c r="E95" s="10" t="inlineStr"/>
      <c r="F95" s="10" t="inlineStr">
        <is>
          <t>/billing-import/facturation ou /billing-export/facturation</t>
        </is>
      </c>
      <c r="G95" s="10" t="inlineStr">
        <is>
          <t>Facture émise ; montant conforme à la grille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R07-02</t>
        </is>
      </c>
      <c r="C96" s="10" t="inlineStr">
        <is>
          <t>R07 Agent Facturation (Import / Export)</t>
        </is>
      </c>
      <c r="D96" s="10" t="inlineStr">
        <is>
          <t>Transmettre selon le type de client</t>
        </is>
      </c>
      <c r="E96" s="10" t="inlineStr"/>
      <c r="F96" s="10" t="inlineStr">
        <is>
          <t>Déposer la facture sur un dossier Normal, puis En compte, puis Deposit</t>
        </is>
      </c>
      <c r="G96" s="10" t="inlineStr">
        <is>
          <t>Normal → Validation du paiement ; En compte → Contrôle documentaire (sans paiement) ; Deposit → Comptabilité client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R07-03</t>
        </is>
      </c>
      <c r="C97" s="10" t="inlineStr">
        <is>
          <t>R07 Agent Facturation (Import / Export)</t>
        </is>
      </c>
      <c r="D97" s="10" t="inlineStr">
        <is>
          <t>Confirmation avant dépôt de facture</t>
        </is>
      </c>
      <c r="E97" s="10" t="inlineStr"/>
      <c r="F97" s="10" t="inlineStr">
        <is>
          <t>File Facturation : choisir un fichier de facture ; annuler puis confirmer</t>
        </is>
      </c>
      <c r="G97" s="10" t="inlineStr">
        <is>
          <t>Rien n'est déposé avant « Déposer et valider » ; client et profil (En compte, Deposit…) affichés sous le BL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R07-04</t>
        </is>
      </c>
      <c r="C98" s="10" t="inlineStr">
        <is>
          <t>R07 Agent Facturation (Import / Export)</t>
        </is>
      </c>
      <c r="D98" s="10" t="inlineStr">
        <is>
          <t>Menu et accès interdit</t>
        </is>
      </c>
      <c r="E98" s="10" t="inlineStr"/>
      <c r="F98" s="10" t="inlineStr">
        <is>
          <t>Vérifier le menu ; saisir l'URL d'un écran d'un autre profil</t>
        </is>
      </c>
      <c r="G98" s="10" t="inlineStr">
        <is>
          <t>Menu limité au profil ; écran étranger refusé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R08-01</t>
        </is>
      </c>
      <c r="C99" s="10" t="inlineStr">
        <is>
          <t>R08 Agent Validation paiement</t>
        </is>
      </c>
      <c r="D99" s="10" t="inlineStr">
        <is>
          <t>Valider un paiement</t>
        </is>
      </c>
      <c r="E99" s="10" t="inlineStr"/>
      <c r="F99" s="10" t="inlineStr">
        <is>
          <t>/billing-import/validation-paiement ou /billing-export/validation-paiement : contrôler la preuve de paiement</t>
        </is>
      </c>
      <c r="G99" s="10" t="inlineStr">
        <is>
          <t>Paiement validé ; passage au Contrôle documentaire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R08-02</t>
        </is>
      </c>
      <c r="C100" s="10" t="inlineStr">
        <is>
          <t>R08 Agent Validation paiement</t>
        </is>
      </c>
      <c r="D100" s="10" t="inlineStr">
        <is>
          <t>Refuser un paiement</t>
        </is>
      </c>
      <c r="E100" s="10" t="inlineStr"/>
      <c r="F100" s="10" t="inlineStr">
        <is>
          <t>Refuser avec un motif</t>
        </is>
      </c>
      <c r="G100" s="10" t="inlineStr">
        <is>
          <t>Dossier « En attente client » (délai suspendu) ; client notifié ; il redépose une preuve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R08-03</t>
        </is>
      </c>
      <c r="C101" s="10" t="inlineStr">
        <is>
          <t>R08 Agent Validation paiement</t>
        </is>
      </c>
      <c r="D101" s="10" t="inlineStr">
        <is>
          <t>Voir la preuve depuis la file</t>
        </is>
      </c>
      <c r="E101" s="10" t="inlineStr"/>
      <c r="F101" s="10" t="inlineStr">
        <is>
          <t>File Validation paiement : cliquer « 👁 Voir la preuve » sur une ligne</t>
        </is>
      </c>
      <c r="G101" s="10" t="inlineStr">
        <is>
          <t>La preuve s'ouvre dans l'aperçu sans quitter la file ; « ⚠️ Aucune preuve de paiement déposée » si le client n'a rien joint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R08-04</t>
        </is>
      </c>
      <c r="C102" s="10" t="inlineStr">
        <is>
          <t>R08 Agent Validation paiement</t>
        </is>
      </c>
      <c r="D102" s="10" t="inlineStr">
        <is>
          <t>Menu et accès interdit</t>
        </is>
      </c>
      <c r="E102" s="10" t="inlineStr"/>
      <c r="F102" s="10" t="inlineStr">
        <is>
          <t>Vérifier le menu ; saisir l'URL d'un écran d'un autre profil</t>
        </is>
      </c>
      <c r="G102" s="10" t="inlineStr">
        <is>
          <t>Menu limité au profil ; écran étranger refusé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R09-01</t>
        </is>
      </c>
      <c r="C103" s="10" t="inlineStr">
        <is>
          <t>R09 Comptabilité (lettrage)</t>
        </is>
      </c>
      <c r="D103" s="10" t="inlineStr">
        <is>
          <t>Confirmer le lettrage</t>
        </is>
      </c>
      <c r="E103" s="10" t="inlineStr"/>
      <c r="F103" s="10" t="inlineStr">
        <is>
          <t>Dossier d'un client Deposit : effectuer le lettrage dans IRIS, puis /billing-import/comptabilite-client ou /billing-export/comptabilite : confirmer</t>
        </is>
      </c>
      <c r="G103" s="10" t="inlineStr">
        <is>
          <t>Lettrage confirmé ; passage au Contrôle documentaire (le dossier n'est PAS clôturé à cette étape)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R09-02</t>
        </is>
      </c>
      <c r="C104" s="10" t="inlineStr">
        <is>
          <t>R09 Comptabilité (lettrage)</t>
        </is>
      </c>
      <c r="D104" s="10" t="inlineStr">
        <is>
          <t>Consulter un ticket clôturé</t>
        </is>
      </c>
      <c r="E104" s="10" t="inlineStr"/>
      <c r="F104" s="10" t="inlineStr">
        <is>
          <t>/billing-import/ticket-cloture</t>
        </is>
      </c>
      <c r="G104" s="10" t="inlineStr">
        <is>
          <t>Ticket en lecture seule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R09-03</t>
        </is>
      </c>
      <c r="C105" s="10" t="inlineStr">
        <is>
          <t>R09 Comptabilité (lettrage)</t>
        </is>
      </c>
      <c r="D105" s="10" t="inlineStr">
        <is>
          <t>Menu et accès interdit</t>
        </is>
      </c>
      <c r="E105" s="10" t="inlineStr"/>
      <c r="F105" s="10" t="inlineStr">
        <is>
          <t>Vérifier le menu ; saisir l'URL d'un écran d'un autre profil</t>
        </is>
      </c>
      <c r="G105" s="10" t="inlineStr">
        <is>
          <t>Menu limité au profil ; écran étranger refusé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R10-01</t>
        </is>
      </c>
      <c r="C106" s="10" t="inlineStr">
        <is>
          <t>R10 Agent IES (Import / Export)</t>
        </is>
      </c>
      <c r="D106" s="10" t="inlineStr">
        <is>
          <t>Traitement IES Import</t>
        </is>
      </c>
      <c r="E106" s="10" t="inlineStr"/>
      <c r="F106" s="10" t="inlineStr">
        <is>
          <t>/billing-import/ies : instruire manifeste et contrôle documentaire IES</t>
        </is>
      </c>
      <c r="G106" s="10" t="inlineStr">
        <is>
          <t>Étapes IES validées et tracées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R10-02</t>
        </is>
      </c>
      <c r="C107" s="10" t="inlineStr">
        <is>
          <t>R10 Agent IES (Import / Export)</t>
        </is>
      </c>
      <c r="D107" s="10" t="inlineStr">
        <is>
          <t>Traitement IES Export</t>
        </is>
      </c>
      <c r="E107" s="10" t="inlineStr"/>
      <c r="F107" s="10" t="inlineStr">
        <is>
          <t>/billing-export/ies</t>
        </is>
      </c>
      <c r="G107" s="10" t="inlineStr">
        <is>
          <t>Idem côté Export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R10-03</t>
        </is>
      </c>
      <c r="C108" s="10" t="inlineStr">
        <is>
          <t>R10 Agent IES (Import / Export)</t>
        </is>
      </c>
      <c r="D108" s="10" t="inlineStr">
        <is>
          <t>Menu et accès interdit</t>
        </is>
      </c>
      <c r="E108" s="10" t="inlineStr"/>
      <c r="F108" s="10" t="inlineStr">
        <is>
          <t>Vérifier le menu ; saisir l'URL d'un écran d'un autre profil</t>
        </is>
      </c>
      <c r="G108" s="10" t="inlineStr">
        <is>
          <t>Menu limité au profil ; écran étranger refusé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R11-01</t>
        </is>
      </c>
      <c r="C109" s="10" t="inlineStr">
        <is>
          <t>R11 Agent Back Office Export</t>
        </is>
      </c>
      <c r="D109" s="10" t="inlineStr">
        <is>
          <t>Instruire un dossier Export</t>
        </is>
      </c>
      <c r="E109" s="10" t="inlineStr"/>
      <c r="F109" s="10" t="inlineStr">
        <is>
          <t>/billing-export/back-office : prendre en charge, compléter, valider</t>
        </is>
      </c>
      <c r="G109" s="10" t="inlineStr">
        <is>
          <t>Passage à la Facturation Export (client IES : circuit IES)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R11-02</t>
        </is>
      </c>
      <c r="C110" s="10" t="inlineStr">
        <is>
          <t>R11 Agent Back Office Export</t>
        </is>
      </c>
      <c r="D110" s="10" t="inlineStr">
        <is>
          <t>Menu et accès interdit</t>
        </is>
      </c>
      <c r="E110" s="10" t="inlineStr"/>
      <c r="F110" s="10" t="inlineStr">
        <is>
          <t>Vérifier le menu ; saisir l'URL d'un écran d'un autre profil</t>
        </is>
      </c>
      <c r="G110" s="10" t="inlineStr">
        <is>
          <t>Menu limité au profil ; écran étranger refusé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R12-01</t>
        </is>
      </c>
      <c r="C111" s="10" t="inlineStr">
        <is>
          <t>R12 Agent Guichet (Billing Office)</t>
        </is>
      </c>
      <c r="D111" s="10" t="inlineStr">
        <is>
          <t>Recherche rapide</t>
        </is>
      </c>
      <c r="E111" s="10" t="inlineStr"/>
      <c r="F111" s="10" t="inlineStr">
        <is>
          <t>/guichet/recherche : par n° de BL, de ticket ou société</t>
        </is>
      </c>
      <c r="G111" s="10" t="inlineStr">
        <is>
          <t>Dossier trouvé ; consultation sans ressaisie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R12-02</t>
        </is>
      </c>
      <c r="C112" s="10" t="inlineStr">
        <is>
          <t>R12 Agent Guichet (Billing Office)</t>
        </is>
      </c>
      <c r="D112" s="10" t="inlineStr">
        <is>
          <t>Aperçu des pièces</t>
        </is>
      </c>
      <c r="E112" s="10" t="inlineStr"/>
      <c r="F112" s="10" t="inlineStr">
        <is>
          <t>Dans le dossier consulté : 👁 Ouvrir</t>
        </is>
      </c>
      <c r="G112" s="10" t="inlineStr">
        <is>
          <t>Pièce affichée dans l'application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R12-03</t>
        </is>
      </c>
      <c r="C113" s="10" t="inlineStr">
        <is>
          <t>R12 Agent Guichet (Billing Office)</t>
        </is>
      </c>
      <c r="D113" s="10" t="inlineStr">
        <is>
          <t>Agenda par période</t>
        </is>
      </c>
      <c r="E113" s="10" t="inlineStr"/>
      <c r="F113" s="10" t="inlineStr">
        <is>
          <t>/guichet/agenda : vues Jour, Semaine de travail, Semaine, Mois ; Aujourd'hui, précédent/suivant, sélecteur de date</t>
        </is>
      </c>
      <c r="G113" s="10" t="inlineStr">
        <is>
          <t>Rendez-vous au bon jour et à la bonne heure ; « +N » en vue Mois au-delà de 3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R12-04</t>
        </is>
      </c>
      <c r="C114" s="10" t="inlineStr">
        <is>
          <t>R12 Agent Guichet (Billing Office)</t>
        </is>
      </c>
      <c r="D114" s="10" t="inlineStr">
        <is>
          <t>Constater la présence</t>
        </is>
      </c>
      <c r="E114" s="10" t="inlineStr"/>
      <c r="F114" s="10" t="inlineStr">
        <is>
          <t>Marquer un rendez-vous Honoré puis un autre Non présenté</t>
        </is>
      </c>
      <c r="G114" s="10" t="inlineStr">
        <is>
          <t>Statuts mis à jour et horodatés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R12-05</t>
        </is>
      </c>
      <c r="C115" s="10" t="inlineStr">
        <is>
          <t>R12 Agent Guichet (Billing Office)</t>
        </is>
      </c>
      <c r="D115" s="10" t="inlineStr">
        <is>
          <t>Mode dégradé</t>
        </is>
      </c>
      <c r="E115" s="10" t="inlineStr"/>
      <c r="F115" s="10" t="inlineStr">
        <is>
          <t>Régulariser une opération faite hors système</t>
        </is>
      </c>
      <c r="G115" s="10" t="inlineStr">
        <is>
          <t>Régularisation tracée au journal d'audit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R12-06</t>
        </is>
      </c>
      <c r="C116" s="10" t="inlineStr">
        <is>
          <t>R12 Agent Guichet (Billing Office)</t>
        </is>
      </c>
      <c r="D116" s="10" t="inlineStr">
        <is>
          <t>Menu et accès interdit</t>
        </is>
      </c>
      <c r="E116" s="10" t="inlineStr"/>
      <c r="F116" s="10" t="inlineStr">
        <is>
          <t>Vérifier le menu ; saisir l'URL d'un écran d'un autre profil</t>
        </is>
      </c>
      <c r="G116" s="10" t="inlineStr">
        <is>
          <t>Menu limité au profil ; écran étranger refusé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R13-01</t>
        </is>
      </c>
      <c r="C117" s="10" t="inlineStr">
        <is>
          <t>R13 Agent Réclamations</t>
        </is>
      </c>
      <c r="D117" s="10" t="inlineStr">
        <is>
          <t>Instruire</t>
        </is>
      </c>
      <c r="E117" s="10" t="inlineStr"/>
      <c r="F117" s="10" t="inlineStr">
        <is>
          <t>/reclamations/file : prendre en charge, répondre</t>
        </is>
      </c>
      <c r="G117" s="10" t="inlineStr">
        <is>
          <t>Client notifié ; réponse horodatée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R13-02</t>
        </is>
      </c>
      <c r="C118" s="10" t="inlineStr">
        <is>
          <t>R13 Agent Réclamations</t>
        </is>
      </c>
      <c r="D118" s="10" t="inlineStr">
        <is>
          <t>Clôturer</t>
        </is>
      </c>
      <c r="E118" s="10" t="inlineStr"/>
      <c r="F118" s="10" t="inlineStr">
        <is>
          <t>Clôturer la réclamation</t>
        </is>
      </c>
      <c r="G118" s="10" t="inlineStr">
        <is>
          <t>Statut Clôturé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R13-03</t>
        </is>
      </c>
      <c r="C119" s="10" t="inlineStr">
        <is>
          <t>R13 Agent Réclamations</t>
        </is>
      </c>
      <c r="D119" s="10" t="inlineStr">
        <is>
          <t>Menu et accès interdit</t>
        </is>
      </c>
      <c r="E119" s="10" t="inlineStr"/>
      <c r="F119" s="10" t="inlineStr">
        <is>
          <t>Vérifier le menu ; saisir l'URL d'un écran d'un autre profil</t>
        </is>
      </c>
      <c r="G119" s="10" t="inlineStr">
        <is>
          <t>Menu limité au profil ; écran étranger refusé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R14-01</t>
        </is>
      </c>
      <c r="C120" s="10" t="inlineStr">
        <is>
          <t>R14 Agent Gate (enrôlement)</t>
        </is>
      </c>
      <c r="D120" s="10" t="inlineStr">
        <is>
          <t>Instruire</t>
        </is>
      </c>
      <c r="E120" s="10" t="inlineStr"/>
      <c r="F120" s="10" t="inlineStr">
        <is>
          <t>/enrolement/file-agent-gate : vérifier les pièces, demander un complément</t>
        </is>
      </c>
      <c r="G120" s="10" t="inlineStr">
        <is>
          <t>Transporteur notifié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R14-02</t>
        </is>
      </c>
      <c r="C121" s="10" t="inlineStr">
        <is>
          <t>R14 Agent Gate (enrôlement)</t>
        </is>
      </c>
      <c r="D121" s="10" t="inlineStr">
        <is>
          <t>Valider, convoquer et remettre le badge</t>
        </is>
      </c>
      <c r="E121" s="10" t="inlineStr"/>
      <c r="F121" s="10" t="inlineStr">
        <is>
          <t>Valider, déclencher la convocation, puis « 🪪 Constater la remise du badge » : saisir le numéro du badge et sa date d'expiration ; « Confirmer la remise »</t>
        </is>
      </c>
      <c r="G121" s="10" t="inlineStr">
        <is>
          <t>« Confirmer la remise » grisé tant que le numéro est vide ; date passée refusée ; dossier clôturé ; historique « Badge n° …, expire le … »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R14-03</t>
        </is>
      </c>
      <c r="C122" s="10" t="inlineStr">
        <is>
          <t>R14 Agent Gate (enrôlement)</t>
        </is>
      </c>
      <c r="D122" s="10" t="inlineStr">
        <is>
          <t>Notification de remise</t>
        </is>
      </c>
      <c r="E122" s="10" t="inlineStr"/>
      <c r="F122" s="10" t="inlineStr">
        <is>
          <t>Après la remise d'un badge sur un dossier de flotte, demander à l'entreprise ce qu'elle a reçu</t>
        </is>
      </c>
      <c r="G122" s="10" t="inlineStr">
        <is>
          <t>Le représentant et l'administrateur de l'entreprise sont notifiés (cloche + e-mail)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R14-04</t>
        </is>
      </c>
      <c r="C123" s="10" t="inlineStr">
        <is>
          <t>R14 Agent Gate (enrôlement)</t>
        </is>
      </c>
      <c r="D123" s="10" t="inlineStr">
        <is>
          <t>Doublons et entreprise affichés</t>
        </is>
      </c>
      <c r="E123" s="10" t="inlineStr"/>
      <c r="F123" s="10" t="inlineStr">
        <is>
          <t>File Agent Gate : repérer deux demandes identiques (même camion)</t>
        </is>
      </c>
      <c r="G123" s="10" t="inlineStr">
        <is>
          <t>« ⚠️ Doublon possible : ENR-… » sur chacune ; entreprise de transport affichée sous l'objet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R14-05</t>
        </is>
      </c>
      <c r="C124" s="10" t="inlineStr">
        <is>
          <t>R14 Agent Gate (enrôlement)</t>
        </is>
      </c>
      <c r="D124" s="10" t="inlineStr">
        <is>
          <t>Demander un complément de pièces</t>
        </is>
      </c>
      <c r="E124" s="10" t="inlineStr"/>
      <c r="F124" s="10" t="inlineStr">
        <is>
          <t>Prendre en charge, « Demander un complément » avec un motif ; côté transporteur, répondre avec des pièces</t>
        </is>
      </c>
      <c r="G124" s="10" t="inlineStr">
        <is>
          <t>Le transporteur voit le motif ; les pièces reçues apparaissent sur la fiche (aperçu « Ouvrir ») ; historique en clair (« Complément demandé au client », « Document déposé »)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R14-06</t>
        </is>
      </c>
      <c r="C125" s="10" t="inlineStr">
        <is>
          <t>R14 Agent Gate (enrôlement)</t>
        </is>
      </c>
      <c r="D125" s="10" t="inlineStr">
        <is>
          <t>Menu et accès interdit</t>
        </is>
      </c>
      <c r="E125" s="10" t="inlineStr"/>
      <c r="F125" s="10" t="inlineStr">
        <is>
          <t>Vérifier le menu ; saisir l'URL d'un écran d'un autre profil</t>
        </is>
      </c>
      <c r="G125" s="10" t="inlineStr">
        <is>
          <t>Menu limité au profil ; écran étranger refusé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R15-01</t>
        </is>
      </c>
      <c r="C126" s="10" t="inlineStr">
        <is>
          <t>R15 Instructeur / décideur Avoir &amp; Exonération</t>
        </is>
      </c>
      <c r="D126" s="10" t="inlineStr">
        <is>
          <t>Instruire</t>
        </is>
      </c>
      <c r="E126" s="10" t="inlineStr"/>
      <c r="F126" s="10" t="inlineStr">
        <is>
          <t>/avoir-exoneration/file : ouvrir une demande</t>
        </is>
      </c>
      <c r="G126" s="10" t="inlineStr">
        <is>
          <t>Fiche complète ; pièces en aperçu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R15-02</t>
        </is>
      </c>
      <c r="C127" s="10" t="inlineStr">
        <is>
          <t>R15 Instructeur / décideur Avoir &amp; Exonération</t>
        </is>
      </c>
      <c r="D127" s="10" t="inlineStr">
        <is>
          <t>Décider</t>
        </is>
      </c>
      <c r="E127" s="10" t="inlineStr"/>
      <c r="F127" s="10" t="inlineStr">
        <is>
          <t>Accorder, puis rejeter une autre demande avec motif</t>
        </is>
      </c>
      <c r="G127" s="10" t="inlineStr">
        <is>
          <t>Décision horodatée ; client notifié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R15-03</t>
        </is>
      </c>
      <c r="C128" s="10" t="inlineStr">
        <is>
          <t>R15 Instructeur / décideur Avoir &amp; Exonération</t>
        </is>
      </c>
      <c r="D128" s="10" t="inlineStr">
        <is>
          <t>Séparation des droits</t>
        </is>
      </c>
      <c r="E128" s="10" t="inlineStr"/>
      <c r="F128" s="10" t="inlineStr">
        <is>
          <t>Un instructeur Avoir sans droit Exonération tente d'instruire une Exonération</t>
        </is>
      </c>
      <c r="G128" s="10" t="inlineStr">
        <is>
          <t>Action refusée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R15-04</t>
        </is>
      </c>
      <c r="C129" s="10" t="inlineStr">
        <is>
          <t>R15 Instructeur / décideur Avoir &amp; Exonération</t>
        </is>
      </c>
      <c r="D129" s="10" t="inlineStr">
        <is>
          <t>Menu et accès interdit</t>
        </is>
      </c>
      <c r="E129" s="10" t="inlineStr"/>
      <c r="F129" s="10" t="inlineStr">
        <is>
          <t>Vérifier le menu ; saisir l'URL d'un écran d'un autre profil</t>
        </is>
      </c>
      <c r="G129" s="10" t="inlineStr">
        <is>
          <t>Menu limité au profil ; écran étranger refusé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R16-01</t>
        </is>
      </c>
      <c r="C130" s="10" t="inlineStr">
        <is>
          <t>R16 Superviseur</t>
        </is>
      </c>
      <c r="D130" s="10" t="inlineStr">
        <is>
          <t>Tableau de bord</t>
        </is>
      </c>
      <c r="E130" s="10" t="inlineStr"/>
      <c r="F130" s="10" t="inlineStr">
        <is>
          <t>/supervision : indicateurs, SLA, charge par file</t>
        </is>
      </c>
      <c r="G130" s="10" t="inlineStr">
        <is>
          <t>Chiffres cohérents avec les files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R16-02</t>
        </is>
      </c>
      <c r="C131" s="10" t="inlineStr">
        <is>
          <t>R16 Superviseur</t>
        </is>
      </c>
      <c r="D131" s="10" t="inlineStr">
        <is>
          <t>Réaffecter</t>
        </is>
      </c>
      <c r="E131" s="10" t="inlineStr"/>
      <c r="F131" s="10" t="inlineStr">
        <is>
          <t>Réaffecter un ticket à un autre agent</t>
        </is>
      </c>
      <c r="G131" s="10" t="inlineStr">
        <is>
          <t>Nouvel agent notifié ; historique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R16-03</t>
        </is>
      </c>
      <c r="C132" s="10" t="inlineStr">
        <is>
          <t>R16 Superviseur</t>
        </is>
      </c>
      <c r="D132" s="10" t="inlineStr">
        <is>
          <t>Action de masse</t>
        </is>
      </c>
      <c r="E132" s="10" t="inlineStr"/>
      <c r="F132" s="10" t="inlineStr">
        <is>
          <t>Sélectionner plusieurs tickets et les réaffecter</t>
        </is>
      </c>
      <c r="G132" s="10" t="inlineStr">
        <is>
          <t>Tous traités ; trace par ticket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R16-04</t>
        </is>
      </c>
      <c r="C133" s="10" t="inlineStr">
        <is>
          <t>R16 Superviseur</t>
        </is>
      </c>
      <c r="D133" s="10" t="inlineStr">
        <is>
          <t>Modifier une priorité</t>
        </is>
      </c>
      <c r="E133" s="10" t="inlineStr"/>
      <c r="F133" s="10" t="inlineStr">
        <is>
          <t>Changer la priorité d'un ticket</t>
        </is>
      </c>
      <c r="G133" s="10" t="inlineStr">
        <is>
          <t>Ordre de la file mis à jour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R16-05</t>
        </is>
      </c>
      <c r="C134" s="10" t="inlineStr">
        <is>
          <t>R16 Superviseur</t>
        </is>
      </c>
      <c r="D134" s="10" t="inlineStr">
        <is>
          <t>Export</t>
        </is>
      </c>
      <c r="E134" s="10" t="inlineStr"/>
      <c r="F134" s="10" t="inlineStr">
        <is>
          <t>Exporter en CSV</t>
        </is>
      </c>
      <c r="G134" s="10" t="inlineStr">
        <is>
          <t>Fichier conforme au périmètre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R16-06</t>
        </is>
      </c>
      <c r="C135" s="10" t="inlineStr">
        <is>
          <t>R16 Superviseur</t>
        </is>
      </c>
      <c r="D135" s="10" t="inlineStr">
        <is>
          <t>Rafraîchissement temps réel</t>
        </is>
      </c>
      <c r="E135" s="10" t="inlineStr"/>
      <c r="F135" s="10" t="inlineStr">
        <is>
          <t>Ouvrir /supervision dans une fenêtre ; dans une autre, prendre en charge ou réaffecter un ticket</t>
        </is>
      </c>
      <c r="G135" s="10" t="inlineStr">
        <is>
          <t>Le tableau de bord se met à jour seul, sans clic sur Rafraîchir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R16-07</t>
        </is>
      </c>
      <c r="C136" s="10" t="inlineStr">
        <is>
          <t>R16 Superviseur</t>
        </is>
      </c>
      <c r="D136" s="10" t="inlineStr">
        <is>
          <t>Charge par opérateur complète</t>
        </is>
      </c>
      <c r="E136" s="10" t="inlineStr"/>
      <c r="F136" s="10" t="inlineStr">
        <is>
          <t>/supervision : section « Charge par opérateur »</t>
        </is>
      </c>
      <c r="G136" s="10" t="inlineStr">
        <is>
          <t>Tous les agents qui ont des tickets en cours apparaissent, même s'ils n'ont jamais changé leur disponibilité ; message explicite si personne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Parcours rôle</t>
        </is>
      </c>
      <c r="B137" s="10" t="inlineStr">
        <is>
          <t>R16-08</t>
        </is>
      </c>
      <c r="C137" s="10" t="inlineStr">
        <is>
          <t>R16 Superviseur</t>
        </is>
      </c>
      <c r="D137" s="10" t="inlineStr">
        <is>
          <t>Files distinguées par module</t>
        </is>
      </c>
      <c r="E137" s="10" t="inlineStr"/>
      <c r="F137" s="10" t="inlineStr">
        <is>
          <t>/supervision : lire les files de même nom (Pilote Manifeste, Facturation)</t>
        </is>
      </c>
      <c r="G137" s="10" t="inlineStr">
        <is>
          <t>Le module (Facturation Import / Export…) est affiché sous chaque nom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Parcours rôle</t>
        </is>
      </c>
      <c r="B138" s="10" t="inlineStr">
        <is>
          <t>R16-09</t>
        </is>
      </c>
      <c r="C138" s="10" t="inlineStr">
        <is>
          <t>R16 Superviseur</t>
        </is>
      </c>
      <c r="D138" s="10" t="inlineStr">
        <is>
          <t>Menu et accès interdit</t>
        </is>
      </c>
      <c r="E138" s="10" t="inlineStr"/>
      <c r="F138" s="10" t="inlineStr">
        <is>
          <t>Vérifier le menu ; saisir l'URL d'un écran d'un autre profil</t>
        </is>
      </c>
      <c r="G138" s="10" t="inlineStr">
        <is>
          <t>Menu limité au profil ; écran étranger refusé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Parcours rôle</t>
        </is>
      </c>
      <c r="B139" s="10" t="inlineStr">
        <is>
          <t>R17-01</t>
        </is>
      </c>
      <c r="C139" s="10" t="inlineStr">
        <is>
          <t>R17 Support IT N1 / N2</t>
        </is>
      </c>
      <c r="D139" s="10" t="inlineStr">
        <is>
          <t>File N1</t>
        </is>
      </c>
      <c r="E139" s="10" t="inlineStr"/>
      <c r="F139" s="10" t="inlineStr">
        <is>
          <t>/support/incidents/file : prendre en charge un incident</t>
        </is>
      </c>
      <c r="G139" s="10" t="inlineStr">
        <is>
          <t>Incident affecté ; SLA démarré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Parcours rôle</t>
        </is>
      </c>
      <c r="B140" s="10" t="inlineStr">
        <is>
          <t>R17-02</t>
        </is>
      </c>
      <c r="C140" s="10" t="inlineStr">
        <is>
          <t>R17 Support IT N1 / N2</t>
        </is>
      </c>
      <c r="D140" s="10" t="inlineStr">
        <is>
          <t>Diagnostiquer</t>
        </is>
      </c>
      <c r="E140" s="10" t="inlineStr"/>
      <c r="F140" s="10" t="inlineStr">
        <is>
          <t>Rechercher le dossier au guichet ; consulter le journal d'audit</t>
        </is>
      </c>
      <c r="G140" s="10" t="inlineStr">
        <is>
          <t>Lecture seule : aucune modification de dossier possible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Parcours rôle</t>
        </is>
      </c>
      <c r="B141" s="10" t="inlineStr">
        <is>
          <t>R17-03</t>
        </is>
      </c>
      <c r="C141" s="10" t="inlineStr">
        <is>
          <t>R17 Support IT N1 / N2</t>
        </is>
      </c>
      <c r="D141" s="10" t="inlineStr">
        <is>
          <t>Résoudre en N1</t>
        </is>
      </c>
      <c r="E141" s="10" t="inlineStr"/>
      <c r="F141" s="10" t="inlineStr">
        <is>
          <t>Répondre puis résoudre</t>
        </is>
      </c>
      <c r="G141" s="10" t="inlineStr">
        <is>
          <t>Déclarant notifié ; clôture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Parcours rôle</t>
        </is>
      </c>
      <c r="B142" s="10" t="inlineStr">
        <is>
          <t>R17-04</t>
        </is>
      </c>
      <c r="C142" s="10" t="inlineStr">
        <is>
          <t>R17 Support IT N1 / N2</t>
        </is>
      </c>
      <c r="D142" s="10" t="inlineStr">
        <is>
          <t>Escalader en N2</t>
        </is>
      </c>
      <c r="E142" s="10" t="inlineStr"/>
      <c r="F142" s="10" t="inlineStr">
        <is>
          <t>Escalader avec un motif</t>
        </is>
      </c>
      <c r="G142" s="10" t="inlineStr">
        <is>
          <t>Incident dans la file N2 ; le N1 ne peut plus le traiter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Parcours rôle</t>
        </is>
      </c>
      <c r="B143" s="10" t="inlineStr">
        <is>
          <t>R17-05</t>
        </is>
      </c>
      <c r="C143" s="10" t="inlineStr">
        <is>
          <t>R17 Support IT N1 / N2</t>
        </is>
      </c>
      <c r="D143" s="10" t="inlineStr">
        <is>
          <t>Résoudre en N2</t>
        </is>
      </c>
      <c r="E143" s="10" t="inlineStr"/>
      <c r="F143" s="10" t="inlineStr">
        <is>
          <t>Compte N2 : reprendre, résoudre, clôturer</t>
        </is>
      </c>
      <c r="G143" s="10" t="inlineStr">
        <is>
          <t>Déclarant notifié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Parcours rôle</t>
        </is>
      </c>
      <c r="B144" s="10" t="inlineStr">
        <is>
          <t>R17-06</t>
        </is>
      </c>
      <c r="C144" s="10" t="inlineStr">
        <is>
          <t>R17 Support IT N1 / N2</t>
        </is>
      </c>
      <c r="D144" s="10" t="inlineStr">
        <is>
          <t>SLA dépassé</t>
        </is>
      </c>
      <c r="E144" s="10" t="inlineStr"/>
      <c r="F144" s="10" t="inlineStr">
        <is>
          <t>Laisser un incident dépasser son délai</t>
        </is>
      </c>
      <c r="G144" s="10" t="inlineStr">
        <is>
          <t>Alerte ou escalade automatique selon les règles</t>
        </is>
      </c>
      <c r="H144" s="11" t="n"/>
      <c r="I144" s="12" t="n"/>
      <c r="J144" s="11" t="n"/>
      <c r="K144" s="11" t="n"/>
      <c r="L144" s="11" t="n"/>
    </row>
    <row r="145">
      <c r="A145" s="10" t="inlineStr">
        <is>
          <t>Parcours rôle</t>
        </is>
      </c>
      <c r="B145" s="10" t="inlineStr">
        <is>
          <t>R17-07</t>
        </is>
      </c>
      <c r="C145" s="10" t="inlineStr">
        <is>
          <t>R17 Support IT N1 / N2</t>
        </is>
      </c>
      <c r="D145" s="10" t="inlineStr">
        <is>
          <t>Menu et accès interdit</t>
        </is>
      </c>
      <c r="E145" s="10" t="inlineStr"/>
      <c r="F145" s="10" t="inlineStr">
        <is>
          <t>Vérifier le menu ; saisir l'URL d'un écran d'un autre profil</t>
        </is>
      </c>
      <c r="G145" s="10" t="inlineStr">
        <is>
          <t>Menu limité au profil ; écran étranger refusé</t>
        </is>
      </c>
      <c r="H145" s="11" t="n"/>
      <c r="I145" s="12" t="n"/>
      <c r="J145" s="11" t="n"/>
      <c r="K145" s="11" t="n"/>
      <c r="L145" s="11" t="n"/>
    </row>
    <row r="146">
      <c r="A146" s="10" t="inlineStr">
        <is>
          <t>Parcours rôle</t>
        </is>
      </c>
      <c r="B146" s="10" t="inlineStr">
        <is>
          <t>R18-01</t>
        </is>
      </c>
      <c r="C146" s="10" t="inlineStr">
        <is>
          <t>R18 Administrateur fonctionnel</t>
        </is>
      </c>
      <c r="D146" s="10" t="inlineStr">
        <is>
          <t>Valider une demande de compte</t>
        </is>
      </c>
      <c r="E146" s="10" t="inlineStr"/>
      <c r="F146" s="10" t="inlineStr">
        <is>
          <t>/comptes/valider : valider une demande, en rejeter une autre avec motif</t>
        </is>
      </c>
      <c r="G146" s="10" t="inlineStr">
        <is>
          <t>Société créée ; demandeur rejeté notifié</t>
        </is>
      </c>
      <c r="H146" s="11" t="n"/>
      <c r="I146" s="12" t="n"/>
      <c r="J146" s="11" t="n"/>
      <c r="K146" s="11" t="n"/>
      <c r="L146" s="11" t="n"/>
    </row>
    <row r="147">
      <c r="A147" s="10" t="inlineStr">
        <is>
          <t>Parcours rôle</t>
        </is>
      </c>
      <c r="B147" s="10" t="inlineStr">
        <is>
          <t>R18-02</t>
        </is>
      </c>
      <c r="C147" s="10" t="inlineStr">
        <is>
          <t>R18 Administrateur fonctionnel</t>
        </is>
      </c>
      <c r="D147" s="10" t="inlineStr">
        <is>
          <t>Modifier le type client</t>
        </is>
      </c>
      <c r="E147" s="10" t="inlineStr"/>
      <c r="F147" s="10" t="inlineStr">
        <is>
          <t>/comptes/modifier-type</t>
        </is>
      </c>
      <c r="G147" s="10" t="inlineStr">
        <is>
          <t>Changement tracé</t>
        </is>
      </c>
      <c r="H147" s="11" t="n"/>
      <c r="I147" s="12" t="n"/>
      <c r="J147" s="11" t="n"/>
      <c r="K147" s="11" t="n"/>
      <c r="L147" s="11" t="n"/>
    </row>
    <row r="148">
      <c r="A148" s="10" t="inlineStr">
        <is>
          <t>Parcours rôle</t>
        </is>
      </c>
      <c r="B148" s="10" t="inlineStr">
        <is>
          <t>R18-03</t>
        </is>
      </c>
      <c r="C148" s="10" t="inlineStr">
        <is>
          <t>R18 Administrateur fonctionnel</t>
        </is>
      </c>
      <c r="D148" s="10" t="inlineStr">
        <is>
          <t>Comptes agents</t>
        </is>
      </c>
      <c r="E148" s="10" t="inlineStr"/>
      <c r="F148" s="10" t="inlineStr">
        <is>
          <t>/administration/comptes-agents : créer, attribuer des permissions, appliquer le profil Support N1, désactiver</t>
        </is>
      </c>
      <c r="G148" s="10" t="inlineStr">
        <is>
          <t>Droits effectifs à la reconnexion de l'agent</t>
        </is>
      </c>
      <c r="H148" s="11" t="n"/>
      <c r="I148" s="12" t="n"/>
      <c r="J148" s="11" t="n"/>
      <c r="K148" s="11" t="n"/>
      <c r="L148" s="11" t="n"/>
    </row>
    <row r="149">
      <c r="A149" s="10" t="inlineStr">
        <is>
          <t>Parcours rôle</t>
        </is>
      </c>
      <c r="B149" s="10" t="inlineStr">
        <is>
          <t>R18-04</t>
        </is>
      </c>
      <c r="C149" s="10" t="inlineStr">
        <is>
          <t>R18 Administrateur fonctionnel</t>
        </is>
      </c>
      <c r="D149" s="10" t="inlineStr">
        <is>
          <t>SLA et escalade</t>
        </is>
      </c>
      <c r="E149" s="10" t="inlineStr"/>
      <c r="F149" s="10" t="inlineStr">
        <is>
          <t>/administration/parametres-sla et /administration/regles-escalade</t>
        </is>
      </c>
      <c r="G149" s="10" t="inlineStr">
        <is>
          <t>Nouveaux délais appliqués aux nouveaux tickets</t>
        </is>
      </c>
      <c r="H149" s="11" t="n"/>
      <c r="I149" s="12" t="n"/>
      <c r="J149" s="11" t="n"/>
      <c r="K149" s="11" t="n"/>
      <c r="L149" s="11" t="n"/>
    </row>
    <row r="150">
      <c r="A150" s="10" t="inlineStr">
        <is>
          <t>Parcours rôle</t>
        </is>
      </c>
      <c r="B150" s="10" t="inlineStr">
        <is>
          <t>R18-05</t>
        </is>
      </c>
      <c r="C150" s="10" t="inlineStr">
        <is>
          <t>R18 Administrateur fonctionnel</t>
        </is>
      </c>
      <c r="D150" s="10" t="inlineStr">
        <is>
          <t>Files et workflow</t>
        </is>
      </c>
      <c r="E150" s="10" t="inlineStr"/>
      <c r="F150" s="10" t="inlineStr">
        <is>
          <t>strategie-file, matrice-transitions, motifs-transfert, pieces-exigees-etape, regles-priorite-automatique, priorites, etapes-bloquantes-annulation, libelles-statut</t>
        </is>
      </c>
      <c r="G150" s="10" t="inlineStr">
        <is>
          <t>Pris en compte sans redéploiement</t>
        </is>
      </c>
      <c r="H150" s="11" t="n"/>
      <c r="I150" s="12" t="n"/>
      <c r="J150" s="11" t="n"/>
      <c r="K150" s="11" t="n"/>
      <c r="L150" s="11" t="n"/>
    </row>
    <row r="151">
      <c r="A151" s="10" t="inlineStr">
        <is>
          <t>Parcours rôle</t>
        </is>
      </c>
      <c r="B151" s="10" t="inlineStr">
        <is>
          <t>R18-06</t>
        </is>
      </c>
      <c r="C151" s="10" t="inlineStr">
        <is>
          <t>R18 Administrateur fonctionnel</t>
        </is>
      </c>
      <c r="D151" s="10" t="inlineStr">
        <is>
          <t>Référentiels</t>
        </is>
      </c>
      <c r="E151" s="10" t="inlineStr"/>
      <c r="F151" s="10" t="inlineStr">
        <is>
          <t>champs-enrolement, catégories de réclamation, categories-incident, pieces-exigees-compte, competences-operateur, perimetres-supervision, disponibilite</t>
        </is>
      </c>
      <c r="G151" s="10" t="inlineStr">
        <is>
          <t>Valeurs visibles dans les formulaires concernés</t>
        </is>
      </c>
      <c r="H151" s="11" t="n"/>
      <c r="I151" s="12" t="n"/>
      <c r="J151" s="11" t="n"/>
      <c r="K151" s="11" t="n"/>
      <c r="L151" s="11" t="n"/>
    </row>
    <row r="152">
      <c r="A152" s="10" t="inlineStr">
        <is>
          <t>Parcours rôle</t>
        </is>
      </c>
      <c r="B152" s="10" t="inlineStr">
        <is>
          <t>R18-07</t>
        </is>
      </c>
      <c r="C152" s="10" t="inlineStr">
        <is>
          <t>R18 Administrateur fonctionnel</t>
        </is>
      </c>
      <c r="D152" s="10" t="inlineStr">
        <is>
          <t>Tarification</t>
        </is>
      </c>
      <c r="E152" s="10" t="inlineStr"/>
      <c r="F152" s="10" t="inlineStr">
        <is>
          <t>/admin/tarification : nouvelle version de grille avec date d'effet ; /admin/tarification/referentiels</t>
        </is>
      </c>
      <c r="G152" s="10" t="inlineStr">
        <is>
          <t>Les simulations suivantes utilisent la nouvelle grille ; les anciennes sont signalées obsolètes</t>
        </is>
      </c>
      <c r="H152" s="11" t="n"/>
      <c r="I152" s="12" t="n"/>
      <c r="J152" s="11" t="n"/>
      <c r="K152" s="11" t="n"/>
      <c r="L152" s="11" t="n"/>
    </row>
    <row r="153">
      <c r="A153" s="10" t="inlineStr">
        <is>
          <t>Parcours rôle</t>
        </is>
      </c>
      <c r="B153" s="10" t="inlineStr">
        <is>
          <t>R18-08</t>
        </is>
      </c>
      <c r="C153" s="10" t="inlineStr">
        <is>
          <t>R18 Administrateur fonctionnel</t>
        </is>
      </c>
      <c r="D153" s="10" t="inlineStr">
        <is>
          <t>Notifications et assistant</t>
        </is>
      </c>
      <c r="E153" s="10" t="inlineStr"/>
      <c r="F153" s="10" t="inlineStr">
        <is>
          <t>/administration/notifications et /administration/assistant</t>
        </is>
      </c>
      <c r="G153" s="10" t="inlineStr">
        <is>
          <t>Modèles et réponses appliqués</t>
        </is>
      </c>
      <c r="H153" s="11" t="n"/>
      <c r="I153" s="12" t="n"/>
      <c r="J153" s="11" t="n"/>
      <c r="K153" s="11" t="n"/>
      <c r="L153" s="11" t="n"/>
    </row>
    <row r="154">
      <c r="A154" s="10" t="inlineStr">
        <is>
          <t>Parcours rôle</t>
        </is>
      </c>
      <c r="B154" s="10" t="inlineStr">
        <is>
          <t>R18-09</t>
        </is>
      </c>
      <c r="C154" s="10" t="inlineStr">
        <is>
          <t>R18 Administrateur fonctionnel</t>
        </is>
      </c>
      <c r="D154" s="10" t="inlineStr">
        <is>
          <t>Journal d'audit</t>
        </is>
      </c>
      <c r="E154" s="10" t="inlineStr"/>
      <c r="F154" s="10" t="inlineStr">
        <is>
          <t>/administration/audit : filtrer par utilisateur, action, date</t>
        </is>
      </c>
      <c r="G154" s="10" t="inlineStr">
        <is>
          <t>Toutes les actions de la campagne apparaissent, à la seconde, non modifiables</t>
        </is>
      </c>
      <c r="H154" s="11" t="n"/>
      <c r="I154" s="12" t="n"/>
      <c r="J154" s="11" t="n"/>
      <c r="K154" s="11" t="n"/>
      <c r="L154" s="11" t="n"/>
    </row>
    <row r="155">
      <c r="A155" s="10" t="inlineStr">
        <is>
          <t>Parcours rôle</t>
        </is>
      </c>
      <c r="B155" s="10" t="inlineStr">
        <is>
          <t>R18-10</t>
        </is>
      </c>
      <c r="C155" s="10" t="inlineStr">
        <is>
          <t>R18 Administrateur fonctionnel</t>
        </is>
      </c>
      <c r="D155" s="10" t="inlineStr">
        <is>
          <t>Archives</t>
        </is>
      </c>
      <c r="E155" s="10" t="inlineStr"/>
      <c r="F155" s="10" t="inlineStr">
        <is>
          <t>/administration/archives</t>
        </is>
      </c>
      <c r="G155" s="10" t="inlineStr">
        <is>
          <t>Dossiers archivés consultables, date et heure d'archivage</t>
        </is>
      </c>
      <c r="H155" s="11" t="n"/>
      <c r="I155" s="12" t="n"/>
      <c r="J155" s="11" t="n"/>
      <c r="K155" s="11" t="n"/>
      <c r="L155" s="11" t="n"/>
    </row>
    <row r="156">
      <c r="A156" s="10" t="inlineStr">
        <is>
          <t>Parcours rôle</t>
        </is>
      </c>
      <c r="B156" s="10" t="inlineStr">
        <is>
          <t>R18-11</t>
        </is>
      </c>
      <c r="C156" s="10" t="inlineStr">
        <is>
          <t>R18 Administrateur fonctionnel</t>
        </is>
      </c>
      <c r="D156" s="10" t="inlineStr">
        <is>
          <t>Invitation d'un agent</t>
        </is>
      </c>
      <c r="E156" s="10" t="inlineStr"/>
      <c r="F156" s="10" t="inlineStr">
        <is>
          <t>Comptes agents &gt; Nouveau collaborateur : e-mail + nom, « Envoyer l'invitation »</t>
        </is>
      </c>
      <c r="G156" s="10" t="inlineStr">
        <is>
          <t>Aucun mot de passe demandé ; e-mail « Activez votre compte » reçu ; badge « Invitation en attente »</t>
        </is>
      </c>
      <c r="H156" s="11" t="n"/>
      <c r="I156" s="12" t="n"/>
      <c r="J156" s="11" t="n"/>
      <c r="K156" s="11" t="n"/>
      <c r="L156" s="11" t="n"/>
    </row>
    <row r="157">
      <c r="A157" s="10" t="inlineStr">
        <is>
          <t>Parcours rôle</t>
        </is>
      </c>
      <c r="B157" s="10" t="inlineStr">
        <is>
          <t>R18-12</t>
        </is>
      </c>
      <c r="C157" s="10" t="inlineStr">
        <is>
          <t>R18 Administrateur fonctionnel</t>
        </is>
      </c>
      <c r="D157" s="10" t="inlineStr">
        <is>
          <t>Activation par l'agent</t>
        </is>
      </c>
      <c r="E157" s="10" t="inlineStr"/>
      <c r="F157" s="10" t="inlineStr">
        <is>
          <t>L'agent ouvre le lien (&lt; 2 h), choisit son mot de passe, se connecte</t>
        </is>
      </c>
      <c r="G157" s="10" t="inlineStr">
        <is>
          <t>Page « Activez votre compte » ; puis 2FA obligatoire ; le badge « Invitation en attente » disparaît</t>
        </is>
      </c>
      <c r="H157" s="11" t="n"/>
      <c r="I157" s="12" t="n"/>
      <c r="J157" s="11" t="n"/>
      <c r="K157" s="11" t="n"/>
      <c r="L157" s="11" t="n"/>
    </row>
    <row r="158">
      <c r="A158" s="10" t="inlineStr">
        <is>
          <t>Parcours rôle</t>
        </is>
      </c>
      <c r="B158" s="10" t="inlineStr">
        <is>
          <t>R18-13</t>
        </is>
      </c>
      <c r="C158" s="10" t="inlineStr">
        <is>
          <t>R18 Administrateur fonctionnel</t>
        </is>
      </c>
      <c r="D158" s="10" t="inlineStr">
        <is>
          <t>Renvoyer l'invitation</t>
        </is>
      </c>
      <c r="E158" s="10" t="inlineStr"/>
      <c r="F158" s="10" t="inlineStr">
        <is>
          <t>Sur un agent en attente : « Renvoyer l'invitation »</t>
        </is>
      </c>
      <c r="G158" s="10" t="inlineStr">
        <is>
          <t>Nouveau lien reçu ; action visible au journal d'audit (InvitationAgentRenvoyee)</t>
        </is>
      </c>
      <c r="H158" s="11" t="n"/>
      <c r="I158" s="12" t="n"/>
      <c r="J158" s="11" t="n"/>
      <c r="K158" s="11" t="n"/>
      <c r="L158" s="11" t="n"/>
    </row>
    <row r="159">
      <c r="A159" s="10" t="inlineStr">
        <is>
          <t>Parcours rôle</t>
        </is>
      </c>
      <c r="B159" s="10" t="inlineStr">
        <is>
          <t>R18-14</t>
        </is>
      </c>
      <c r="C159" s="10" t="inlineStr">
        <is>
          <t>R18 Administrateur fonctionnel</t>
        </is>
      </c>
      <c r="D159" s="10" t="inlineStr">
        <is>
          <t>Correction de l'identité d'une société</t>
        </is>
      </c>
      <c r="E159" s="10" t="inlineStr"/>
      <c r="F159" s="10" t="inlineStr">
        <is>
          <t>Modifier le type de client &gt; Identité : corriger raison sociale / RCCM ; tester un RCCM déjà pris</t>
        </is>
      </c>
      <c r="G159" s="10" t="inlineStr">
        <is>
          <t>Mise à jour tracée à l'audit (avant/après) ; RCCM déjà pris refusé ; alerte si RCCM manquant</t>
        </is>
      </c>
      <c r="H159" s="11" t="n"/>
      <c r="I159" s="12" t="n"/>
      <c r="J159" s="11" t="n"/>
      <c r="K159" s="11" t="n"/>
      <c r="L159" s="11" t="n"/>
    </row>
    <row r="160">
      <c r="A160" s="10" t="inlineStr">
        <is>
          <t>Parcours rôle</t>
        </is>
      </c>
      <c r="B160" s="10" t="inlineStr">
        <is>
          <t>R18-15</t>
        </is>
      </c>
      <c r="C160" s="10" t="inlineStr">
        <is>
          <t>R18 Administrateur fonctionnel</t>
        </is>
      </c>
      <c r="D160" s="10" t="inlineStr">
        <is>
          <t>Liste des sociétés par nom</t>
        </is>
      </c>
      <c r="E160" s="10" t="inlineStr"/>
      <c r="F160" s="10" t="inlineStr">
        <is>
          <t>Modifier le type de client : ouvrir la liste des sociétés</t>
        </is>
      </c>
      <c r="G160" s="10" t="inlineStr">
        <is>
          <t>Noms seuls, triés ; RCCM de la société choisie affiché dessous</t>
        </is>
      </c>
      <c r="H160" s="11" t="n"/>
      <c r="I160" s="12" t="n"/>
      <c r="J160" s="11" t="n"/>
      <c r="K160" s="11" t="n"/>
      <c r="L160" s="11" t="n"/>
    </row>
    <row r="161">
      <c r="A161" s="10" t="inlineStr">
        <is>
          <t>Parcours rôle</t>
        </is>
      </c>
      <c r="B161" s="10" t="inlineStr">
        <is>
          <t>R18-16</t>
        </is>
      </c>
      <c r="C161" s="10" t="inlineStr">
        <is>
          <t>R18 Administrateur fonctionnel</t>
        </is>
      </c>
      <c r="D161" s="10" t="inlineStr">
        <is>
          <t>Réinitialiser la 2FA d'un agent</t>
        </is>
      </c>
      <c r="E161" s="10" t="inlineStr"/>
      <c r="F161" s="10" t="inlineStr">
        <is>
          <t>Comptes agents : « Réinitialiser la 2FA » sur un autre agent ; confirmer</t>
        </is>
      </c>
      <c r="G161" s="10" t="inlineStr">
        <is>
          <t>2FA désactivée et sessions de l'agent fermées ; à sa connexion suivante, il doit reconfigurer sa 2FA ; action au journal d'audit</t>
        </is>
      </c>
      <c r="H161" s="11" t="n"/>
      <c r="I161" s="12" t="n"/>
      <c r="J161" s="11" t="n"/>
      <c r="K161" s="11" t="n"/>
      <c r="L161" s="11" t="n"/>
    </row>
    <row r="162">
      <c r="A162" s="10" t="inlineStr">
        <is>
          <t>Parcours rôle</t>
        </is>
      </c>
      <c r="B162" s="10" t="inlineStr">
        <is>
          <t>R18-17</t>
        </is>
      </c>
      <c r="C162" s="10" t="inlineStr">
        <is>
          <t>R18 Administrateur fonctionnel</t>
        </is>
      </c>
      <c r="D162" s="10" t="inlineStr">
        <is>
          <t>Pas d'auto-réinitialisation</t>
        </is>
      </c>
      <c r="E162" s="10" t="inlineStr"/>
      <c r="F162" s="10" t="inlineStr">
        <is>
          <t>Chercher le bouton « Réinitialiser la 2FA » sur sa propre ligne</t>
        </is>
      </c>
      <c r="G162" s="10" t="inlineStr">
        <is>
          <t>Absent pour son propre compte (il faut un autre administrateur)</t>
        </is>
      </c>
      <c r="H162" s="11" t="n"/>
      <c r="I162" s="12" t="n"/>
      <c r="J162" s="11" t="n"/>
      <c r="K162" s="11" t="n"/>
      <c r="L162" s="11" t="n"/>
    </row>
    <row r="163">
      <c r="A163" s="10" t="inlineStr">
        <is>
          <t>Parcours rôle</t>
        </is>
      </c>
      <c r="B163" s="10" t="inlineStr">
        <is>
          <t>R18-18</t>
        </is>
      </c>
      <c r="C163" s="10" t="inlineStr">
        <is>
          <t>R18 Administrateur fonctionnel</t>
        </is>
      </c>
      <c r="D163" s="10" t="inlineStr">
        <is>
          <t>Annuaire de tous les comptes</t>
        </is>
      </c>
      <c r="E163" s="10" t="inlineStr"/>
      <c r="F163" s="10" t="inlineStr">
        <is>
          <t>Administration CIT &gt; Comptes utilisateurs : onglets Agents / Clients / Transporteurs / Demandes en cours, filtre</t>
        </is>
      </c>
      <c r="G163" s="10" t="inlineStr">
        <is>
          <t>Tous les comptes visibles et bien classés, avec société, état et 2FA ; désactivation confirmée et réactivation possibles ; 2FA réinitialisable pour un client ou un transporteur</t>
        </is>
      </c>
      <c r="H163" s="11" t="n"/>
      <c r="I163" s="12" t="n"/>
      <c r="J163" s="11" t="n"/>
      <c r="K163" s="11" t="n"/>
      <c r="L163" s="11" t="n"/>
    </row>
    <row r="164">
      <c r="A164" s="10" t="inlineStr">
        <is>
          <t>Parcours rôle</t>
        </is>
      </c>
      <c r="B164" s="10" t="inlineStr">
        <is>
          <t>R18-19</t>
        </is>
      </c>
      <c r="C164" s="10" t="inlineStr">
        <is>
          <t>R18 Administrateur fonctionnel</t>
        </is>
      </c>
      <c r="D164" s="10" t="inlineStr">
        <is>
          <t>Référentiels métier</t>
        </is>
      </c>
      <c r="E164" s="10" t="inlineStr"/>
      <c r="F164" s="10" t="inlineStr">
        <is>
          <t>/administration/referentiels : pour une gravité d'incident, changer le libellé FR/EN et l'ordre ; désactiver une valeur ; tenter de désactiver la dernière valeur active</t>
        </is>
      </c>
      <c r="G164" s="10" t="inlineStr">
        <is>
          <t>Nouveau libellé visible dans Signaler un problème et la file Support IT ; valeur désactivée plus proposée (les tickets existants la gardent) ; dernière valeur active refusée ; modifications au journal d'audit</t>
        </is>
      </c>
      <c r="H164" s="11" t="n"/>
      <c r="I164" s="12" t="n"/>
      <c r="J164" s="11" t="n"/>
      <c r="K164" s="11" t="n"/>
      <c r="L164" s="11" t="n"/>
    </row>
    <row r="165">
      <c r="A165" s="10" t="inlineStr">
        <is>
          <t>Parcours rôle</t>
        </is>
      </c>
      <c r="B165" s="10" t="inlineStr">
        <is>
          <t>R18-20</t>
        </is>
      </c>
      <c r="C165" s="10" t="inlineStr">
        <is>
          <t>R18 Administrateur fonctionnel</t>
        </is>
      </c>
      <c r="D165" s="10" t="inlineStr">
        <is>
          <t>Fiches d'aide</t>
        </is>
      </c>
      <c r="E165" s="10" t="inlineStr"/>
      <c r="F165" s="10" t="inlineStr">
        <is>
          <t>/administration/aide : modifier une fiche (aperçu pendant la saisie), en créer une pour un écran sans fiche, créer une seconde fiche pour le même écran, désactiver une fiche</t>
        </is>
      </c>
      <c r="G165" s="10" t="inlineStr">
        <is>
          <t>Modification visible via « ? » sur l'écran ; seconde fiche pour le même écran refusée ; fiche désactivée plus affichée ; chaque enregistrement au journal d'audit</t>
        </is>
      </c>
      <c r="H165" s="11" t="n"/>
      <c r="I165" s="12" t="n"/>
      <c r="J165" s="11" t="n"/>
      <c r="K165" s="11" t="n"/>
      <c r="L165" s="11" t="n"/>
    </row>
    <row r="166">
      <c r="A166" s="10" t="inlineStr">
        <is>
          <t>Parcours rôle</t>
        </is>
      </c>
      <c r="B166" s="10" t="inlineStr">
        <is>
          <t>R18-21</t>
        </is>
      </c>
      <c r="C166" s="10" t="inlineStr">
        <is>
          <t>R18 Administrateur fonctionnel</t>
        </is>
      </c>
      <c r="D166" s="10" t="inlineStr">
        <is>
          <t>Type de client des règles de priorité</t>
        </is>
      </c>
      <c r="E166" s="10" t="inlineStr"/>
      <c r="F166" s="10" t="inlineStr">
        <is>
          <t>/administration/regles-priorite-automatique : créer une règle avec un type de client</t>
        </is>
      </c>
      <c r="G166" s="10" t="inlineStr">
        <is>
          <t>Le type se choisit dans une liste (référentiel des types de client) ; libellé affiché dans le tableau des règles</t>
        </is>
      </c>
      <c r="H166" s="11" t="n"/>
      <c r="I166" s="12" t="n"/>
      <c r="J166" s="11" t="n"/>
      <c r="K166" s="11" t="n"/>
      <c r="L166" s="11" t="n"/>
    </row>
    <row r="167">
      <c r="A167" s="10" t="inlineStr">
        <is>
          <t>Parcours rôle</t>
        </is>
      </c>
      <c r="B167" s="10" t="inlineStr">
        <is>
          <t>R18-22</t>
        </is>
      </c>
      <c r="C167" s="10" t="inlineStr">
        <is>
          <t>R18 Administrateur fonctionnel</t>
        </is>
      </c>
      <c r="D167" s="10" t="inlineStr">
        <is>
          <t>Valider une entreprise de transport</t>
        </is>
      </c>
      <c r="E167" s="10" t="inlineStr"/>
      <c r="F167" s="10" t="inlineStr">
        <is>
          <t>/comptes/valider : ouvrir une demande de profil Transporteur, vérifier l'agrément, valider</t>
        </is>
      </c>
      <c r="G167" s="10" t="inlineStr">
        <is>
          <t>Société de type Transporteur créée ; e-mail « compte activé » reçu par le demandeur</t>
        </is>
      </c>
      <c r="H167" s="11" t="n"/>
      <c r="I167" s="12" t="n"/>
      <c r="J167" s="11" t="n"/>
      <c r="K167" s="11" t="n"/>
      <c r="L167" s="11" t="n"/>
    </row>
    <row r="168">
      <c r="A168" s="10" t="inlineStr">
        <is>
          <t>Parcours rôle</t>
        </is>
      </c>
      <c r="B168" s="10" t="inlineStr">
        <is>
          <t>R18-23</t>
        </is>
      </c>
      <c r="C168" s="10" t="inlineStr">
        <is>
          <t>R18 Administrateur fonctionnel</t>
        </is>
      </c>
      <c r="D168" s="10" t="inlineStr">
        <is>
          <t>Pièce réservée à un type de compte</t>
        </is>
      </c>
      <c r="E168" s="10" t="inlineStr"/>
      <c r="F168" s="10" t="inlineStr">
        <is>
          <t>/administration/pieces-exigees-compte : créer une pièce obligatoire avec « Type de compte » = Transporteur</t>
        </is>
      </c>
      <c r="G168" s="10" t="inlineStr">
        <is>
          <t>Badge « Transporteur » dans la liste ; la pièce n'est demandée — et bloquante — que pour les demandes Transporteur</t>
        </is>
      </c>
      <c r="H168" s="11" t="n"/>
      <c r="I168" s="12" t="n"/>
      <c r="J168" s="11" t="n"/>
      <c r="K168" s="11" t="n"/>
      <c r="L168" s="11" t="n"/>
    </row>
    <row r="169">
      <c r="A169" s="10" t="inlineStr">
        <is>
          <t>Parcours rôle</t>
        </is>
      </c>
      <c r="B169" s="10" t="inlineStr">
        <is>
          <t>R18-24</t>
        </is>
      </c>
      <c r="C169" s="10" t="inlineStr">
        <is>
          <t>R18 Administrateur fonctionnel</t>
        </is>
      </c>
      <c r="D169" s="10" t="inlineStr">
        <is>
          <t>Validation des comptes lisible</t>
        </is>
      </c>
      <c r="E169" s="10" t="inlineStr"/>
      <c r="F169" s="10" t="inlineStr">
        <is>
          <t>/comptes/valider : lire les pièces et la liste « Profil déclaré »</t>
        </is>
      </c>
      <c r="G169" s="10" t="inlineStr">
        <is>
          <t>Libellés des pièces (« Pièce d'identité du représentant légal… »), pas de codes ; profils « Normal, En compte, Deposit, IES, Transporteur » ; aucun identifiant technique affiché</t>
        </is>
      </c>
      <c r="H169" s="11" t="n"/>
      <c r="I169" s="12" t="n"/>
      <c r="J169" s="11" t="n"/>
      <c r="K169" s="11" t="n"/>
      <c r="L169" s="11" t="n"/>
    </row>
    <row r="170">
      <c r="A170" s="10" t="inlineStr">
        <is>
          <t>Parcours rôle</t>
        </is>
      </c>
      <c r="B170" s="10" t="inlineStr">
        <is>
          <t>R18-25</t>
        </is>
      </c>
      <c r="C170" s="10" t="inlineStr">
        <is>
          <t>R18 Administrateur fonctionnel</t>
        </is>
      </c>
      <c r="D170" s="10" t="inlineStr">
        <is>
          <t>Libellés des notifications et de l'audit</t>
        </is>
      </c>
      <c r="E170" s="10" t="inlineStr"/>
      <c r="F170" s="10" t="inlineStr">
        <is>
          <t>/administration/notifications puis /administration/audit</t>
        </is>
      </c>
      <c r="G170" s="10" t="inlineStr">
        <is>
          <t>Événements et canaux en clair (« Dans l'application », « E-mail »), le code reste en petit dessous ; actions d'audit en clair (« Connexion réussie »)</t>
        </is>
      </c>
      <c r="H170" s="11" t="n"/>
      <c r="I170" s="12" t="n"/>
      <c r="J170" s="11" t="n"/>
      <c r="K170" s="11" t="n"/>
      <c r="L170" s="11" t="n"/>
    </row>
    <row r="171">
      <c r="A171" s="10" t="inlineStr">
        <is>
          <t>Parcours rôle</t>
        </is>
      </c>
      <c r="B171" s="10" t="inlineStr">
        <is>
          <t>R18-26</t>
        </is>
      </c>
      <c r="C171" s="10" t="inlineStr">
        <is>
          <t>R18 Administrateur fonctionnel</t>
        </is>
      </c>
      <c r="D171" s="10" t="inlineStr">
        <is>
          <t>Menu et accès interdit</t>
        </is>
      </c>
      <c r="E171" s="10" t="inlineStr"/>
      <c r="F171" s="10" t="inlineStr">
        <is>
          <t>Vérifier le menu ; saisir l'URL d'un écran d'un autre profil</t>
        </is>
      </c>
      <c r="G171" s="10" t="inlineStr">
        <is>
          <t>Menu limité au profil ; écran étranger refusé</t>
        </is>
      </c>
      <c r="H171" s="11" t="n"/>
      <c r="I171" s="12" t="n"/>
      <c r="J171" s="11" t="n"/>
      <c r="K171" s="11" t="n"/>
      <c r="L171" s="11" t="n"/>
    </row>
    <row r="172">
      <c r="A172" s="10" t="inlineStr">
        <is>
          <t>Parcours rôle</t>
        </is>
      </c>
      <c r="B172" s="10" t="inlineStr">
        <is>
          <t>R19-01</t>
        </is>
      </c>
      <c r="C172" s="10" t="inlineStr">
        <is>
          <t>R19 Super administrateur</t>
        </is>
      </c>
      <c r="D172" s="10" t="inlineStr">
        <is>
          <t>Changement d'espace</t>
        </is>
      </c>
      <c r="E172" s="10" t="inlineStr"/>
      <c r="F172" s="10" t="inlineStr">
        <is>
          <t>Sélecteur d'espace en haut du menu : Opérateur, Supervision, Administration…</t>
        </is>
      </c>
      <c r="G172" s="10" t="inlineStr">
        <is>
          <t>Menu filtré selon l'espace choisi</t>
        </is>
      </c>
      <c r="H172" s="11" t="n"/>
      <c r="I172" s="12" t="n"/>
      <c r="J172" s="11" t="n"/>
      <c r="K172" s="11" t="n"/>
      <c r="L172" s="11" t="n"/>
    </row>
    <row r="173">
      <c r="A173" s="10" t="inlineStr">
        <is>
          <t>Parcours rôle</t>
        </is>
      </c>
      <c r="B173" s="10" t="inlineStr">
        <is>
          <t>R19-02</t>
        </is>
      </c>
      <c r="C173" s="10" t="inlineStr">
        <is>
          <t>R19 Super administrateur</t>
        </is>
      </c>
      <c r="D173" s="10" t="inlineStr">
        <is>
          <t>Couverture N1 + N2</t>
        </is>
      </c>
      <c r="E173" s="10" t="inlineStr"/>
      <c r="F173" s="10" t="inlineStr">
        <is>
          <t>Traiter un incident N1 puis un incident N2</t>
        </is>
      </c>
      <c r="G173" s="10" t="inlineStr">
        <is>
          <t>Autorisé aux deux niveaux</t>
        </is>
      </c>
      <c r="H173" s="11" t="n"/>
      <c r="I173" s="12" t="n"/>
      <c r="J173" s="11" t="n"/>
      <c r="K173" s="11" t="n"/>
      <c r="L173" s="11" t="n"/>
    </row>
    <row r="174">
      <c r="A174" s="10" t="inlineStr">
        <is>
          <t>Parcours rôle</t>
        </is>
      </c>
      <c r="B174" s="10" t="inlineStr">
        <is>
          <t>R19-03</t>
        </is>
      </c>
      <c r="C174" s="10" t="inlineStr">
        <is>
          <t>R19 Super administrateur</t>
        </is>
      </c>
      <c r="D174" s="10" t="inlineStr">
        <is>
          <t>Dérogation au workflow</t>
        </is>
      </c>
      <c r="E174" s="10" t="inlineStr"/>
      <c r="F174" s="10" t="inlineStr">
        <is>
          <t>Déroger avec un motif sur un ticket</t>
        </is>
      </c>
      <c r="G174" s="10" t="inlineStr">
        <is>
          <t>Dérogation tracée au journal d'audit</t>
        </is>
      </c>
      <c r="H174" s="11" t="n"/>
      <c r="I174" s="12" t="n"/>
      <c r="J174" s="11" t="n"/>
      <c r="K174" s="11" t="n"/>
      <c r="L174" s="11" t="n"/>
    </row>
    <row r="175">
      <c r="A175" s="10" t="inlineStr">
        <is>
          <t>Parcours rôle</t>
        </is>
      </c>
      <c r="B175" s="10" t="inlineStr">
        <is>
          <t>R19-04</t>
        </is>
      </c>
      <c r="C175" s="10" t="inlineStr">
        <is>
          <t>R19 Super administrateur</t>
        </is>
      </c>
      <c r="D175" s="10" t="inlineStr">
        <is>
          <t>Espace affiché du super-admin</t>
        </is>
      </c>
      <c r="E175" s="10" t="inlineStr"/>
      <c r="F175" s="10" t="inlineStr">
        <is>
          <t>Se connecter en super-admin ; basculer entre les espaces</t>
        </is>
      </c>
      <c r="G175" s="10" t="inlineStr">
        <is>
          <t>Jamais « Espace Transporteur » ; la pastille affiche l'espace réellement actif</t>
        </is>
      </c>
      <c r="H175" s="11" t="n"/>
      <c r="I175" s="12" t="n"/>
      <c r="J175" s="11" t="n"/>
      <c r="K175" s="11" t="n"/>
      <c r="L175" s="11" t="n"/>
    </row>
    <row r="176">
      <c r="A176" s="10" t="inlineStr">
        <is>
          <t>Parcours rôle</t>
        </is>
      </c>
      <c r="B176" s="10" t="inlineStr">
        <is>
          <t>R19-05</t>
        </is>
      </c>
      <c r="C176" s="10" t="inlineStr">
        <is>
          <t>R19 Super administrateur</t>
        </is>
      </c>
      <c r="D176" s="10" t="inlineStr">
        <is>
          <t>Compteur super-administrateurs</t>
        </is>
      </c>
      <c r="E176" s="10" t="inlineStr"/>
      <c r="F176" s="10" t="inlineStr">
        <is>
          <t>Comptes agents : lire la carte « Super-Administrateurs »</t>
        </is>
      </c>
      <c r="G176" s="10" t="inlineStr">
        <is>
          <t>Au moins 1 ; le super-admin détient toutes les permissions, y compris les plus récentes</t>
        </is>
      </c>
      <c r="H176" s="11" t="n"/>
      <c r="I176" s="12" t="n"/>
      <c r="J176" s="11" t="n"/>
      <c r="K176" s="11" t="n"/>
      <c r="L176" s="11" t="n"/>
    </row>
    <row r="177">
      <c r="A177" s="10" t="inlineStr">
        <is>
          <t>Parcours rôle</t>
        </is>
      </c>
      <c r="B177" s="10" t="inlineStr">
        <is>
          <t>R19-06</t>
        </is>
      </c>
      <c r="C177" s="10" t="inlineStr">
        <is>
          <t>R19 Super administrateur</t>
        </is>
      </c>
      <c r="D177" s="10" t="inlineStr">
        <is>
          <t>Menu et accès interdit</t>
        </is>
      </c>
      <c r="E177" s="10" t="inlineStr"/>
      <c r="F177" s="10" t="inlineStr">
        <is>
          <t>Vérifier le menu ; saisir l'URL d'un écran d'un autre profil</t>
        </is>
      </c>
      <c r="G177" s="10" t="inlineStr">
        <is>
          <t>Menu limité au profil ; écran étranger refusé</t>
        </is>
      </c>
      <c r="H177" s="11" t="n"/>
      <c r="I177" s="12" t="n"/>
      <c r="J177" s="11" t="n"/>
      <c r="K177" s="11" t="n"/>
      <c r="L177" s="11" t="n"/>
    </row>
    <row r="178">
      <c r="A178" s="10" t="inlineStr">
        <is>
          <t>Bout en bout</t>
        </is>
      </c>
      <c r="B178" s="10" t="inlineStr">
        <is>
          <t>E2E-01</t>
        </is>
      </c>
      <c r="C178" s="10" t="inlineStr">
        <is>
          <t>Plusieurs</t>
        </is>
      </c>
      <c r="D178" s="10" t="inlineStr">
        <is>
          <t>Import complet (client Normal)</t>
        </is>
      </c>
      <c r="E178" s="10" t="inlineStr"/>
      <c r="F178" s="10" t="inlineStr">
        <is>
          <t>R02 soumet → R05 Manifeste → R07 Facturation → R02 dépose la preuve de paiement → R08 Paiement → R06 Contrôle doc (clôture) → R02 consulte le dossier clôturé</t>
        </is>
      </c>
      <c r="G178" s="10" t="inlineStr">
        <is>
          <t>Chaque passage notifié, horodaté, visible dans la chronologie client et le journal d'audit ; SLA respecté</t>
        </is>
      </c>
      <c r="H178" s="11" t="n"/>
      <c r="I178" s="12" t="n"/>
      <c r="J178" s="11" t="n"/>
      <c r="K178" s="11" t="n"/>
      <c r="L178" s="11" t="n"/>
    </row>
    <row r="179">
      <c r="A179" s="10" t="inlineStr">
        <is>
          <t>Bout en bout</t>
        </is>
      </c>
      <c r="B179" s="10" t="inlineStr">
        <is>
          <t>E2E-02</t>
        </is>
      </c>
      <c r="C179" s="10" t="inlineStr">
        <is>
          <t>Plusieurs</t>
        </is>
      </c>
      <c r="D179" s="10" t="inlineStr">
        <is>
          <t>Export complet (client Normal)</t>
        </is>
      </c>
      <c r="E179" s="10" t="inlineStr"/>
      <c r="F179" s="10" t="inlineStr">
        <is>
          <t>R02 soumet → R11 Back Office → R07 Facturation → R02 dépose la preuve de paiement → R08 Paiement → R06 Contrôle doc (clôture)</t>
        </is>
      </c>
      <c r="G179" s="10" t="inlineStr">
        <is>
          <t>Mêmes attendus que l'Import</t>
        </is>
      </c>
      <c r="H179" s="11" t="n"/>
      <c r="I179" s="12" t="n"/>
      <c r="J179" s="11" t="n"/>
      <c r="K179" s="11" t="n"/>
      <c r="L179" s="11" t="n"/>
    </row>
    <row r="180">
      <c r="A180" s="10" t="inlineStr">
        <is>
          <t>Bout en bout</t>
        </is>
      </c>
      <c r="B180" s="10" t="inlineStr">
        <is>
          <t>E2E-03</t>
        </is>
      </c>
      <c r="C180" s="10" t="inlineStr">
        <is>
          <t>Plusieurs</t>
        </is>
      </c>
      <c r="D180" s="10" t="inlineStr">
        <is>
          <t>Complément client</t>
        </is>
      </c>
      <c r="E180" s="10" t="inlineStr"/>
      <c r="F180" s="10" t="inlineStr">
        <is>
          <t>R05 demande un complément → R02 répond avec une pièce → R05 reprend</t>
        </is>
      </c>
      <c r="G180" s="10" t="inlineStr">
        <is>
          <t>SLA suspendu puis repris ; pièce visible en aperçu</t>
        </is>
      </c>
      <c r="H180" s="11" t="n"/>
      <c r="I180" s="12" t="n"/>
      <c r="J180" s="11" t="n"/>
      <c r="K180" s="11" t="n"/>
      <c r="L180" s="11" t="n"/>
    </row>
    <row r="181">
      <c r="A181" s="10" t="inlineStr">
        <is>
          <t>Bout en bout</t>
        </is>
      </c>
      <c r="B181" s="10" t="inlineStr">
        <is>
          <t>E2E-04</t>
        </is>
      </c>
      <c r="C181" s="10" t="inlineStr">
        <is>
          <t>Plusieurs</t>
        </is>
      </c>
      <c r="D181" s="10" t="inlineStr">
        <is>
          <t>Enrôlement d'une flotte de transporteur</t>
        </is>
      </c>
      <c r="E181" s="10" t="inlineStr"/>
      <c r="F181" s="10" t="inlineStr">
        <is>
          <t>R01 demande un compte « Transporteur » avec l'agrément → R18 valide → R04 enrôle un chauffeur (date du permis) et un camion (assurance, visite technique) → R14 instruit, convoque et remet les badges (numéro + expiration) → rappel avant échéance des documents</t>
        </is>
      </c>
      <c r="G181" s="10" t="inlineStr">
        <is>
          <t>Flotte enrôlée ; badges tracés ; chaque étape notifiée au représentant et à l'administrateur de l'entreprise</t>
        </is>
      </c>
      <c r="H181" s="11" t="n"/>
      <c r="I181" s="12" t="n"/>
      <c r="J181" s="11" t="n"/>
      <c r="K181" s="11" t="n"/>
      <c r="L181" s="11" t="n"/>
    </row>
    <row r="182">
      <c r="A182" s="10" t="inlineStr">
        <is>
          <t>Bout en bout</t>
        </is>
      </c>
      <c r="B182" s="10" t="inlineStr">
        <is>
          <t>E2E-05</t>
        </is>
      </c>
      <c r="C182" s="10" t="inlineStr">
        <is>
          <t>Plusieurs</t>
        </is>
      </c>
      <c r="D182" s="10" t="inlineStr">
        <is>
          <t>Réclamation puis avoir</t>
        </is>
      </c>
      <c r="E182" s="10" t="inlineStr"/>
      <c r="F182" s="10" t="inlineStr">
        <is>
          <t>R02 réclame → R13 répond → R02 demande un avoir → R15 instruit et accorde</t>
        </is>
      </c>
      <c r="G182" s="10" t="inlineStr">
        <is>
          <t>Décision notifiée et tracée</t>
        </is>
      </c>
      <c r="H182" s="11" t="n"/>
      <c r="I182" s="12" t="n"/>
      <c r="J182" s="11" t="n"/>
      <c r="K182" s="11" t="n"/>
      <c r="L182" s="11" t="n"/>
    </row>
    <row r="183">
      <c r="A183" s="10" t="inlineStr">
        <is>
          <t>Bout en bout</t>
        </is>
      </c>
      <c r="B183" s="10" t="inlineStr">
        <is>
          <t>E2E-06</t>
        </is>
      </c>
      <c r="C183" s="10" t="inlineStr">
        <is>
          <t>Plusieurs</t>
        </is>
      </c>
      <c r="D183" s="10" t="inlineStr">
        <is>
          <t>Rendez-vous guichet</t>
        </is>
      </c>
      <c r="E183" s="10" t="inlineStr"/>
      <c r="F183" s="10" t="inlineStr">
        <is>
          <t>R02 réserve → R12 voit le rendez-vous dans l'agenda (Jour / Semaine / Mois) → R12 constate la présence</t>
        </is>
      </c>
      <c r="G183" s="10" t="inlineStr">
        <is>
          <t>Statut Honoré ; client notifié</t>
        </is>
      </c>
      <c r="H183" s="11" t="n"/>
      <c r="I183" s="12" t="n"/>
      <c r="J183" s="11" t="n"/>
      <c r="K183" s="11" t="n"/>
      <c r="L183" s="11" t="n"/>
    </row>
    <row r="184">
      <c r="A184" s="10" t="inlineStr">
        <is>
          <t>Bout en bout</t>
        </is>
      </c>
      <c r="B184" s="10" t="inlineStr">
        <is>
          <t>E2E-07</t>
        </is>
      </c>
      <c r="C184" s="10" t="inlineStr">
        <is>
          <t>Plusieurs</t>
        </is>
      </c>
      <c r="D184" s="10" t="inlineStr">
        <is>
          <t>Incident technique</t>
        </is>
      </c>
      <c r="E184" s="10" t="inlineStr"/>
      <c r="F184" s="10" t="inlineStr">
        <is>
          <t>R02 signale → R17 N1 diagnostique → escalade N2 → N2 résout</t>
        </is>
      </c>
      <c r="G184" s="10" t="inlineStr">
        <is>
          <t>Déclarant notifié à chaque étape ; SLA mesuré</t>
        </is>
      </c>
      <c r="H184" s="11" t="n"/>
      <c r="I184" s="12" t="n"/>
      <c r="J184" s="11" t="n"/>
      <c r="K184" s="11" t="n"/>
      <c r="L184" s="11" t="n"/>
    </row>
    <row r="185">
      <c r="A185" s="10" t="inlineStr">
        <is>
          <t>Bout en bout</t>
        </is>
      </c>
      <c r="B185" s="10" t="inlineStr">
        <is>
          <t>E2E-08</t>
        </is>
      </c>
      <c r="C185" s="10" t="inlineStr">
        <is>
          <t>Plusieurs</t>
        </is>
      </c>
      <c r="D185" s="10" t="inlineStr">
        <is>
          <t>Nouvel agent</t>
        </is>
      </c>
      <c r="E185" s="10" t="inlineStr"/>
      <c r="F185" s="10" t="inlineStr">
        <is>
          <t>R18 crée l'agent → première connexion avec 2FA obligatoire → l'agent ne voit que ses écrans</t>
        </is>
      </c>
      <c r="G185" s="10" t="inlineStr">
        <is>
          <t>Aucun écran hors permissions ; accès direct par URL refusé</t>
        </is>
      </c>
      <c r="H185" s="11" t="n"/>
      <c r="I185" s="12" t="n"/>
      <c r="J185" s="11" t="n"/>
      <c r="K185" s="11" t="n"/>
      <c r="L185" s="11" t="n"/>
    </row>
    <row r="186">
      <c r="A186" s="10" t="inlineStr">
        <is>
          <t>Bout en bout</t>
        </is>
      </c>
      <c r="B186" s="10" t="inlineStr">
        <is>
          <t>E2E-09</t>
        </is>
      </c>
      <c r="C186" s="10" t="inlineStr">
        <is>
          <t>Plusieurs</t>
        </is>
      </c>
      <c r="D186" s="10" t="inlineStr">
        <is>
          <t>Import d'un client Deposit</t>
        </is>
      </c>
      <c r="E186" s="10" t="inlineStr"/>
      <c r="F186" s="10" t="inlineStr">
        <is>
          <t>R02 (société Deposit) soumet → R05 Manifeste → R07 Facturation → R09 lettrage IRIS puis confirmation → R06 Contrôle doc (clôture)</t>
        </is>
      </c>
      <c r="G186" s="10" t="inlineStr">
        <is>
          <t>Aucune étape de paiement ; passage direct Facturation → Comptabilité client ; clôture au contrôle documentaire</t>
        </is>
      </c>
      <c r="H186" s="11" t="n"/>
      <c r="I186" s="12" t="n"/>
      <c r="J186" s="11" t="n"/>
      <c r="K186" s="11" t="n"/>
      <c r="L186" s="11" t="n"/>
    </row>
    <row r="187">
      <c r="A187" s="10" t="inlineStr">
        <is>
          <t>Bout en bout</t>
        </is>
      </c>
      <c r="B187" s="10" t="inlineStr">
        <is>
          <t>E2E-10</t>
        </is>
      </c>
      <c r="C187" s="10" t="inlineStr">
        <is>
          <t>Plusieurs</t>
        </is>
      </c>
      <c r="D187" s="10" t="inlineStr">
        <is>
          <t>Import d'un client En compte</t>
        </is>
      </c>
      <c r="E187" s="10" t="inlineStr"/>
      <c r="F187" s="10" t="inlineStr">
        <is>
          <t>R02 (société En compte) soumet → R05 Manifeste → R07 Facturation → R06 Contrôle doc (clôture)</t>
        </is>
      </c>
      <c r="G187" s="10" t="inlineStr">
        <is>
          <t>Ni paiement ni lettrage : passage direct Facturation → Contrôle documentaire</t>
        </is>
      </c>
      <c r="H187" s="11" t="n"/>
      <c r="I187" s="12" t="n"/>
      <c r="J187" s="11" t="n"/>
      <c r="K187" s="11" t="n"/>
      <c r="L187" s="11" t="n"/>
    </row>
  </sheetData>
  <autoFilter ref="A1:L187"/>
  <conditionalFormatting sqref="J2:J18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87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2026-10-04T10:14:10Z</dcterms:created>
  <dcterms:modified xmlns:dcterms="http://purl.org/dc/terms/" xmlns:xsi="http://www.w3.org/2001/XMLSchema-instance" xsi:type="dcterms:W3CDTF">2026-10-04T10:14:10Z</dcterms:modified>
</cp:coreProperties>
</file>