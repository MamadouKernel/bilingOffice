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test'!$A$2:$A$122,"Transverse")</f>
        <v/>
      </c>
      <c r="C4" s="4">
        <f>COUNTIFS('Cas de test'!$A$2:$A$122,"Transverse",'Cas de test'!$J$2:$J$122,"OK")</f>
        <v/>
      </c>
      <c r="D4" s="4">
        <f>COUNTIFS('Cas de test'!$A$2:$A$122,"Transverse",'Cas de test'!$J$2:$J$122,"KO")</f>
        <v/>
      </c>
      <c r="E4" s="4">
        <f>COUNTIFS('Cas de test'!$A$2:$A$122,"Transverse",'Cas de test'!$J$2:$J$122,"Bloqué")</f>
        <v/>
      </c>
      <c r="F4" s="4">
        <f>COUNTIFS('Cas de test'!$A$2:$A$122,"Transverse",'Cas de test'!$J$2:$J$122,"NT")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test'!$A$2:$A$122,"Parcours rôle")</f>
        <v/>
      </c>
      <c r="C5" s="4">
        <f>COUNTIFS('Cas de test'!$A$2:$A$122,"Parcours rôle",'Cas de test'!$J$2:$J$122,"OK")</f>
        <v/>
      </c>
      <c r="D5" s="4">
        <f>COUNTIFS('Cas de test'!$A$2:$A$122,"Parcours rôle",'Cas de test'!$J$2:$J$122,"KO")</f>
        <v/>
      </c>
      <c r="E5" s="4">
        <f>COUNTIFS('Cas de test'!$A$2:$A$122,"Parcours rôle",'Cas de test'!$J$2:$J$122,"Bloqué")</f>
        <v/>
      </c>
      <c r="F5" s="4">
        <f>COUNTIFS('Cas de test'!$A$2:$A$122,"Parcours rôle",'Cas de test'!$J$2:$J$122,"NT")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test'!$A$2:$A$122,"Bout en bout")</f>
        <v/>
      </c>
      <c r="C6" s="4">
        <f>COUNTIFS('Cas de test'!$A$2:$A$122,"Bout en bout",'Cas de test'!$J$2:$J$122,"OK")</f>
        <v/>
      </c>
      <c r="D6" s="4">
        <f>COUNTIFS('Cas de test'!$A$2:$A$122,"Bout en bout",'Cas de test'!$J$2:$J$122,"KO")</f>
        <v/>
      </c>
      <c r="E6" s="4">
        <f>COUNTIFS('Cas de test'!$A$2:$A$122,"Bout en bout",'Cas de test'!$J$2:$J$122,"Bloqué")</f>
        <v/>
      </c>
      <c r="F6" s="4">
        <f>COUNTIFS('Cas de test'!$A$2:$A$122,"Bout en bout",'Cas de test'!$J$2:$J$122,"NT")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Parcours rôle</t>
        </is>
      </c>
      <c r="B19" s="10" t="inlineStr">
        <is>
          <t>R01-01</t>
        </is>
      </c>
      <c r="C19" s="10" t="inlineStr">
        <is>
          <t>R01 Visiteur / prospect</t>
        </is>
      </c>
      <c r="D19" s="10" t="inlineStr">
        <is>
          <t>Demande d'ouverture de compte société</t>
        </is>
      </c>
      <c r="E19" s="10" t="inlineStr"/>
      <c r="F19" s="10" t="inlineStr">
        <is>
          <t>/comptes/soumettre : remplir raison sociale, RCCM, contact ; déposer les pièces exigées</t>
        </is>
      </c>
      <c r="G19" s="10" t="inlineStr">
        <is>
          <t>Accusé de réception ; demande en attente chez l'administrateur (R18)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Parcours rôle</t>
        </is>
      </c>
      <c r="B20" s="10" t="inlineStr">
        <is>
          <t>R01-02</t>
        </is>
      </c>
      <c r="C20" s="10" t="inlineStr">
        <is>
          <t>R01 Visiteur / prospect</t>
        </is>
      </c>
      <c r="D20" s="10" t="inlineStr">
        <is>
          <t>Pièce obligatoire manquante</t>
        </is>
      </c>
      <c r="E20" s="10" t="inlineStr"/>
      <c r="F20" s="10" t="inlineStr">
        <is>
          <t>Soumettre sans une pièce exigée</t>
        </is>
      </c>
      <c r="G20" s="10" t="inlineStr">
        <is>
          <t>Blocage avec un message qui nomme la pièce manquante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Parcours rôle</t>
        </is>
      </c>
      <c r="B21" s="10" t="inlineStr">
        <is>
          <t>R01-03</t>
        </is>
      </c>
      <c r="C21" s="10" t="inlineStr">
        <is>
          <t>R01 Visiteur / prospect</t>
        </is>
      </c>
      <c r="D21" s="10" t="inlineStr">
        <is>
          <t>Inscription transporteur</t>
        </is>
      </c>
      <c r="E21" s="10" t="inlineStr"/>
      <c r="F21" s="10" t="inlineStr">
        <is>
          <t>/comptes/inscription-transporteur</t>
        </is>
      </c>
      <c r="G21" s="10" t="inlineStr">
        <is>
          <t>Demande enregistrée ; e-mail de confirmation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Parcours rôle</t>
        </is>
      </c>
      <c r="B22" s="10" t="inlineStr">
        <is>
          <t>R01-04</t>
        </is>
      </c>
      <c r="C22" s="10" t="inlineStr">
        <is>
          <t>R01 Visiteur / prospect</t>
        </is>
      </c>
      <c r="D22" s="10" t="inlineStr">
        <is>
          <t>Invitation collaborateur</t>
        </is>
      </c>
      <c r="E22" s="10" t="inlineStr"/>
      <c r="F22" s="10" t="inlineStr">
        <is>
          <t>Ouvrir le lien /comptes/invitation/… reçu par e-mail ; définir le mot de passe ; configurer la 2FA</t>
        </is>
      </c>
      <c r="G22" s="10" t="inlineStr">
        <is>
          <t>Compte actif rattaché à la bonne société ; lien réutilisé refusé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Parcours rôle</t>
        </is>
      </c>
      <c r="B23" s="10" t="inlineStr">
        <is>
          <t>R01-05</t>
        </is>
      </c>
      <c r="C23" s="10" t="inlineStr">
        <is>
          <t>R01 Visiteur / prospect</t>
        </is>
      </c>
      <c r="D23" s="10" t="inlineStr">
        <is>
          <t>Menu et accès interdit</t>
        </is>
      </c>
      <c r="E23" s="10" t="inlineStr"/>
      <c r="F23" s="10" t="inlineStr">
        <is>
          <t>Vérifier le menu ; saisir l'URL d'un écran d'un autre profil</t>
        </is>
      </c>
      <c r="G23" s="10" t="inlineStr">
        <is>
          <t>Menu limité au profil ; écran étranger refusé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Parcours rôle</t>
        </is>
      </c>
      <c r="B24" s="10" t="inlineStr">
        <is>
          <t>R02-01</t>
        </is>
      </c>
      <c r="C24" s="10" t="inlineStr">
        <is>
          <t>R02 Client — utilisateur société</t>
        </is>
      </c>
      <c r="D24" s="10" t="inlineStr">
        <is>
          <t>Tableau de bord</t>
        </is>
      </c>
      <c r="E24" s="10" t="inlineStr"/>
      <c r="F24" s="10" t="inlineStr">
        <is>
          <t>/client/dashboard</t>
        </is>
      </c>
      <c r="G24" s="10" t="inlineStr">
        <is>
          <t>Indicateurs limités à la société de l'utilisateur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Parcours rôle</t>
        </is>
      </c>
      <c r="B25" s="10" t="inlineStr">
        <is>
          <t>R02-02</t>
        </is>
      </c>
      <c r="C25" s="10" t="inlineStr">
        <is>
          <t>R02 Client — utilisateur société</t>
        </is>
      </c>
      <c r="D25" s="10" t="inlineStr">
        <is>
          <t>Soumettre une demande Import</t>
        </is>
      </c>
      <c r="E25" s="10" t="inlineStr"/>
      <c r="F25" s="10" t="inlineStr">
        <is>
          <t>Créer un dossier Import avec un BL ; déposer les documents</t>
        </is>
      </c>
      <c r="G25" s="10" t="inlineStr">
        <is>
          <t>Numéros de dossier et de ticket attribués ; statut « Soumis » horodaté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Parcours rôle</t>
        </is>
      </c>
      <c r="B26" s="10" t="inlineStr">
        <is>
          <t>R02-03</t>
        </is>
      </c>
      <c r="C26" s="10" t="inlineStr">
        <is>
          <t>R02 Client — utilisateur société</t>
        </is>
      </c>
      <c r="D26" s="10" t="inlineStr">
        <is>
          <t>Soumettre une demande Export</t>
        </is>
      </c>
      <c r="E26" s="10" t="inlineStr"/>
      <c r="F26" s="10" t="inlineStr">
        <is>
          <t>Créer un dossier Export avec un booking</t>
        </is>
      </c>
      <c r="G26" s="10" t="inlineStr">
        <is>
          <t>Dossier créé et orienté vers le Back Office Export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Parcours rôle</t>
        </is>
      </c>
      <c r="B27" s="10" t="inlineStr">
        <is>
          <t>R02-04</t>
        </is>
      </c>
      <c r="C27" s="10" t="inlineStr">
        <is>
          <t>R02 Client — utilisateur société</t>
        </is>
      </c>
      <c r="D27" s="10" t="inlineStr">
        <is>
          <t>Suivre ses demandes</t>
        </is>
      </c>
      <c r="E27" s="10" t="inlineStr"/>
      <c r="F27" s="10" t="inlineStr">
        <is>
          <t>/client/demandes : filtrer, paginer, ouvrir un dossier</t>
        </is>
      </c>
      <c r="G27" s="10" t="inlineStr">
        <is>
          <t>Chronologie complète et horodatée ; statut à jour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Parcours rôle</t>
        </is>
      </c>
      <c r="B28" s="10" t="inlineStr">
        <is>
          <t>R02-05</t>
        </is>
      </c>
      <c r="C28" s="10" t="inlineStr">
        <is>
          <t>R02 Client — utilisateur société</t>
        </is>
      </c>
      <c r="D28" s="10" t="inlineStr">
        <is>
          <t>Répondre à un complément</t>
        </is>
      </c>
      <c r="E28" s="10" t="inlineStr"/>
      <c r="F28" s="10" t="inlineStr">
        <is>
          <t>Ticket « En attente client » : ajouter un message et une pièce</t>
        </is>
      </c>
      <c r="G28" s="10" t="inlineStr">
        <is>
          <t>Le ticket revient chez l'agent ; le SLA reprend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Parcours rôle</t>
        </is>
      </c>
      <c r="B29" s="10" t="inlineStr">
        <is>
          <t>R02-06</t>
        </is>
      </c>
      <c r="C29" s="10" t="inlineStr">
        <is>
          <t>R02 Client — utilisateur société</t>
        </is>
      </c>
      <c r="D29" s="10" t="inlineStr">
        <is>
          <t>Consulter une pièce</t>
        </is>
      </c>
      <c r="E29" s="10" t="inlineStr"/>
      <c r="F29" s="10" t="inlineStr">
        <is>
          <t>/tickets/{id}/documents : Ouvrir puis Télécharger</t>
        </is>
      </c>
      <c r="G29" s="10" t="inlineStr">
        <is>
          <t>Aperçu et téléchargement OK ; pièce d'une autre société inaccessible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Parcours rôle</t>
        </is>
      </c>
      <c r="B30" s="10" t="inlineStr">
        <is>
          <t>R02-07</t>
        </is>
      </c>
      <c r="C30" s="10" t="inlineStr">
        <is>
          <t>R02 Client — utilisateur société</t>
        </is>
      </c>
      <c r="D30" s="10" t="inlineStr">
        <is>
          <t>Exporter ses demandes</t>
        </is>
      </c>
      <c r="E30" s="10" t="inlineStr"/>
      <c r="F30" s="10" t="inlineStr">
        <is>
          <t>Boutons CSV et Excel</t>
        </is>
      </c>
      <c r="G30" s="10" t="inlineStr">
        <is>
          <t>Fichier conforme, limité à sa société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Parcours rôle</t>
        </is>
      </c>
      <c r="B31" s="10" t="inlineStr">
        <is>
          <t>R02-08</t>
        </is>
      </c>
      <c r="C31" s="10" t="inlineStr">
        <is>
          <t>R02 Client — utilisateur société</t>
        </is>
      </c>
      <c r="D31" s="10" t="inlineStr">
        <is>
          <t>Simulation proforma</t>
        </is>
      </c>
      <c r="E31" s="10" t="inlineStr"/>
      <c r="F31" s="10" t="inlineStr">
        <is>
          <t>/simulation/proforma : saisir des conteneurs, calculer ; historique ; ouvrir le PDF en aperçu</t>
        </is>
      </c>
      <c r="G31" s="10" t="inlineStr">
        <is>
          <t>Montants conformes à la grille active ; mention légale ; PDF lisible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Parcours rôle</t>
        </is>
      </c>
      <c r="B32" s="10" t="inlineStr">
        <is>
          <t>R02-09</t>
        </is>
      </c>
      <c r="C32" s="10" t="inlineStr">
        <is>
          <t>R02 Client — utilisateur société</t>
        </is>
      </c>
      <c r="D32" s="10" t="inlineStr">
        <is>
          <t>Réclamation</t>
        </is>
      </c>
      <c r="E32" s="10" t="inlineStr"/>
      <c r="F32" s="10" t="inlineStr">
        <is>
          <t>/reclamations/mes-reclamations : créer une réclamation avec catégorie et pièce</t>
        </is>
      </c>
      <c r="G32" s="10" t="inlineStr">
        <is>
          <t>Réclamation enregistrée et suivie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R02-10</t>
        </is>
      </c>
      <c r="C33" s="10" t="inlineStr">
        <is>
          <t>R02 Client — utilisateur société</t>
        </is>
      </c>
      <c r="D33" s="10" t="inlineStr">
        <is>
          <t>Avoir / Exonération</t>
        </is>
      </c>
      <c r="E33" s="10" t="inlineStr"/>
      <c r="F33" s="10" t="inlineStr">
        <is>
          <t>/avoir-exoneration/mes-demandes : déposer une demande d'avoir</t>
        </is>
      </c>
      <c r="G33" s="10" t="inlineStr">
        <is>
          <t>Demande suivie jusqu'à la décision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R02-11</t>
        </is>
      </c>
      <c r="C34" s="10" t="inlineStr">
        <is>
          <t>R02 Client — utilisateur société</t>
        </is>
      </c>
      <c r="D34" s="10" t="inlineStr">
        <is>
          <t>Rendez-vous guichet</t>
        </is>
      </c>
      <c r="E34" s="10" t="inlineStr"/>
      <c r="F34" s="10" t="inlineStr">
        <is>
          <t>/rendez-vous/mes-rendez-vous : réserver, reporter, annuler</t>
        </is>
      </c>
      <c r="G34" s="10" t="inlineStr">
        <is>
          <t>Créneau réservé ; report et annulation tracés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R02-12</t>
        </is>
      </c>
      <c r="C35" s="10" t="inlineStr">
        <is>
          <t>R02 Client — utilisateur société</t>
        </is>
      </c>
      <c r="D35" s="10" t="inlineStr">
        <is>
          <t>Signaler un incident technique</t>
        </is>
      </c>
      <c r="E35" s="10" t="inlineStr"/>
      <c r="F35" s="10" t="inlineStr">
        <is>
          <t>/support/incidents/signaler puis /support/incidents/mes-incidents</t>
        </is>
      </c>
      <c r="G35" s="10" t="inlineStr">
        <is>
          <t>Incident créé dans la file Support N1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R02-13</t>
        </is>
      </c>
      <c r="C36" s="10" t="inlineStr">
        <is>
          <t>R02 Client — utilisateur société</t>
        </is>
      </c>
      <c r="D36" s="10" t="inlineStr">
        <is>
          <t>Mes données</t>
        </is>
      </c>
      <c r="E36" s="10" t="inlineStr"/>
      <c r="F36" s="10" t="inlineStr">
        <is>
          <t>/comptes/mon-profil et /comptes/mes-donnees</t>
        </is>
      </c>
      <c r="G36" s="10" t="inlineStr">
        <is>
          <t>Données personnelles consultables ; modification tracée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R02-14</t>
        </is>
      </c>
      <c r="C37" s="10" t="inlineStr">
        <is>
          <t>R02 Client — utilisateur société</t>
        </is>
      </c>
      <c r="D37" s="10" t="inlineStr">
        <is>
          <t>Menu et accès interdit</t>
        </is>
      </c>
      <c r="E37" s="10" t="inlineStr"/>
      <c r="F37" s="10" t="inlineStr">
        <is>
          <t>Vérifier le menu ; saisir l'URL d'un écran d'un autre profil</t>
        </is>
      </c>
      <c r="G37" s="10" t="inlineStr">
        <is>
          <t>Menu limité au profil ; écran étranger refusé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R03-01</t>
        </is>
      </c>
      <c r="C38" s="10" t="inlineStr">
        <is>
          <t>R03 Administrateur société</t>
        </is>
      </c>
      <c r="D38" s="10" t="inlineStr">
        <is>
          <t>Tableau de bord société</t>
        </is>
      </c>
      <c r="E38" s="10" t="inlineStr"/>
      <c r="F38" s="10" t="inlineStr">
        <is>
          <t>/societe/dashboard</t>
        </is>
      </c>
      <c r="G38" s="10" t="inlineStr">
        <is>
          <t>Vue consolidée des demandes de la société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R03-02</t>
        </is>
      </c>
      <c r="C39" s="10" t="inlineStr">
        <is>
          <t>R03 Administrateur société</t>
        </is>
      </c>
      <c r="D39" s="10" t="inlineStr">
        <is>
          <t>Inviter un collaborateur</t>
        </is>
      </c>
      <c r="E39" s="10" t="inlineStr"/>
      <c r="F39" s="10" t="inlineStr">
        <is>
          <t>/societe/collaborateurs : inviter par e-mail</t>
        </is>
      </c>
      <c r="G39" s="10" t="inlineStr">
        <is>
          <t>E-mail d'invitation reçu ; collaborateur en attente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R03-03</t>
        </is>
      </c>
      <c r="C40" s="10" t="inlineStr">
        <is>
          <t>R03 Administrateur société</t>
        </is>
      </c>
      <c r="D40" s="10" t="inlineStr">
        <is>
          <t>Désactiver un collaborateur</t>
        </is>
      </c>
      <c r="E40" s="10" t="inlineStr"/>
      <c r="F40" s="10" t="inlineStr">
        <is>
          <t>Désactiver, puis tenter une connexion avec ce compte</t>
        </is>
      </c>
      <c r="G40" s="10" t="inlineStr">
        <is>
          <t>Connexion refusée ; historique conservé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R03-04</t>
        </is>
      </c>
      <c r="C41" s="10" t="inlineStr">
        <is>
          <t>R03 Administrateur société</t>
        </is>
      </c>
      <c r="D41" s="10" t="inlineStr">
        <is>
          <t>Profil société</t>
        </is>
      </c>
      <c r="E41" s="10" t="inlineStr"/>
      <c r="F41" s="10" t="inlineStr">
        <is>
          <t>/comptes/profil</t>
        </is>
      </c>
      <c r="G41" s="10" t="inlineStr">
        <is>
          <t>Informations affichées, date de création avec l'heure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R03-05</t>
        </is>
      </c>
      <c r="C42" s="10" t="inlineStr">
        <is>
          <t>R03 Administrateur société</t>
        </is>
      </c>
      <c r="D42" s="10" t="inlineStr">
        <is>
          <t>Menu et accès interdit</t>
        </is>
      </c>
      <c r="E42" s="10" t="inlineStr"/>
      <c r="F42" s="10" t="inlineStr">
        <is>
          <t>Vérifier le menu ; saisir l'URL d'un écran d'un autre profil</t>
        </is>
      </c>
      <c r="G42" s="10" t="inlineStr">
        <is>
          <t>Menu limité au profil ; écran étranger refusé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R04-01</t>
        </is>
      </c>
      <c r="C43" s="10" t="inlineStr">
        <is>
          <t>R04 Transporteur</t>
        </is>
      </c>
      <c r="D43" s="10" t="inlineStr">
        <is>
          <t>Demande d'enrôlement</t>
        </is>
      </c>
      <c r="E43" s="10" t="inlineStr"/>
      <c r="F43" s="10" t="inlineStr">
        <is>
          <t>/enrolement/societe/soumettre : remplir les champs paramétrés ; déposer les pièces</t>
        </is>
      </c>
      <c r="G43" s="10" t="inlineStr">
        <is>
          <t>Ticket d'enrôlement créé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R04-02</t>
        </is>
      </c>
      <c r="C44" s="10" t="inlineStr">
        <is>
          <t>R04 Transporteur</t>
        </is>
      </c>
      <c r="D44" s="10" t="inlineStr">
        <is>
          <t>Suivi</t>
        </is>
      </c>
      <c r="E44" s="10" t="inlineStr"/>
      <c r="F44" s="10" t="inlineStr">
        <is>
          <t>/enrolement/mes-enrolements ; fiche de l'enrôlement</t>
        </is>
      </c>
      <c r="G44" s="10" t="inlineStr">
        <is>
          <t>Statuts successifs horodatés ; convocation visible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R04-03</t>
        </is>
      </c>
      <c r="C45" s="10" t="inlineStr">
        <is>
          <t>R04 Transporteur</t>
        </is>
      </c>
      <c r="D45" s="10" t="inlineStr">
        <is>
          <t>Retrait</t>
        </is>
      </c>
      <c r="E45" s="10" t="inlineStr"/>
      <c r="F45" s="10" t="inlineStr">
        <is>
          <t>/enrolement/societe/retrait</t>
        </is>
      </c>
      <c r="G45" s="10" t="inlineStr">
        <is>
          <t>Demande de retrait enregistrée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R04-04</t>
        </is>
      </c>
      <c r="C46" s="10" t="inlineStr">
        <is>
          <t>R04 Transporteur</t>
        </is>
      </c>
      <c r="D46" s="10" t="inlineStr">
        <is>
          <t>Menu et accès interdit</t>
        </is>
      </c>
      <c r="E46" s="10" t="inlineStr"/>
      <c r="F46" s="10" t="inlineStr">
        <is>
          <t>Vérifier le menu ; saisir l'URL d'un écran d'un autre profil</t>
        </is>
      </c>
      <c r="G46" s="10" t="inlineStr">
        <is>
          <t>Menu limité au profil ; écran étranger refusé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R05-01</t>
        </is>
      </c>
      <c r="C47" s="10" t="inlineStr">
        <is>
          <t>R05 Agent Pilote Manifeste (Import)</t>
        </is>
      </c>
      <c r="D47" s="10" t="inlineStr">
        <is>
          <t>File</t>
        </is>
      </c>
      <c r="E47" s="10" t="inlineStr"/>
      <c r="F47" s="10" t="inlineStr">
        <is>
          <t>/billing-import/manifeste : filtrer, paginer</t>
        </is>
      </c>
      <c r="G47" s="10" t="inlineStr">
        <is>
          <t>Uniquement les tickets de l'étape Manifeste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R05-02</t>
        </is>
      </c>
      <c r="C48" s="10" t="inlineStr">
        <is>
          <t>R05 Agent Pilote Manifeste (Import)</t>
        </is>
      </c>
      <c r="D48" s="10" t="inlineStr">
        <is>
          <t>Prendre en charge</t>
        </is>
      </c>
      <c r="E48" s="10" t="inlineStr"/>
      <c r="F48" s="10" t="inlineStr">
        <is>
          <t>Bouton Prendre en charge</t>
        </is>
      </c>
      <c r="G48" s="10" t="inlineStr">
        <is>
          <t>Ticket affecté à l'agent ; SLA démarré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R05-03</t>
        </is>
      </c>
      <c r="C49" s="10" t="inlineStr">
        <is>
          <t>R05 Agent Pilote Manifeste (Import)</t>
        </is>
      </c>
      <c r="D49" s="10" t="inlineStr">
        <is>
          <t>Demander un complément</t>
        </is>
      </c>
      <c r="E49" s="10" t="inlineStr"/>
      <c r="F49" s="10" t="inlineStr">
        <is>
          <t>Message au client + statut En attente client</t>
        </is>
      </c>
      <c r="G49" s="10" t="inlineStr">
        <is>
          <t>Client notifié ; SLA suspendu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R05-04</t>
        </is>
      </c>
      <c r="C50" s="10" t="inlineStr">
        <is>
          <t>R05 Agent Pilote Manifeste (Import)</t>
        </is>
      </c>
      <c r="D50" s="10" t="inlineStr">
        <is>
          <t>Valider l'étape</t>
        </is>
      </c>
      <c r="E50" s="10" t="inlineStr"/>
      <c r="F50" s="10" t="inlineStr">
        <is>
          <t>Valider le manifeste</t>
        </is>
      </c>
      <c r="G50" s="10" t="inlineStr">
        <is>
          <t>Passage au Contrôle documentaire ; historique horodaté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R05-05</t>
        </is>
      </c>
      <c r="C51" s="10" t="inlineStr">
        <is>
          <t>R05 Agent Pilote Manifeste (Import)</t>
        </is>
      </c>
      <c r="D51" s="10" t="inlineStr">
        <is>
          <t>Note interne</t>
        </is>
      </c>
      <c r="E51" s="10" t="inlineStr"/>
      <c r="F51" s="10" t="inlineStr">
        <is>
          <t>Ajouter une note interne</t>
        </is>
      </c>
      <c r="G51" s="10" t="inlineStr">
        <is>
          <t>Invisible côté client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R05-06</t>
        </is>
      </c>
      <c r="C52" s="10" t="inlineStr">
        <is>
          <t>R05 Agent Pilote Manifeste (Import)</t>
        </is>
      </c>
      <c r="D52" s="10" t="inlineStr">
        <is>
          <t>Menu et accès interdit</t>
        </is>
      </c>
      <c r="E52" s="10" t="inlineStr"/>
      <c r="F52" s="10" t="inlineStr">
        <is>
          <t>Vérifier le menu ; saisir l'URL d'un écran d'un autre profil</t>
        </is>
      </c>
      <c r="G52" s="10" t="inlineStr">
        <is>
          <t>Menu limité au profil ; écran étranger refusé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R06-01</t>
        </is>
      </c>
      <c r="C53" s="10" t="inlineStr">
        <is>
          <t>R06 Agent Contrôle documentaire (Import / Export)</t>
        </is>
      </c>
      <c r="D53" s="10" t="inlineStr">
        <is>
          <t>Contrôler les pièces</t>
        </is>
      </c>
      <c r="E53" s="10" t="inlineStr"/>
      <c r="F53" s="10" t="inlineStr">
        <is>
          <t>/billing-import/controle-documentaire ou /billing-export/controle-documentaire : ouvrir chaque pièce en aperçu</t>
        </is>
      </c>
      <c r="G53" s="10" t="inlineStr">
        <is>
          <t>Pièces lisibles sans téléchargement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R06-02</t>
        </is>
      </c>
      <c r="C54" s="10" t="inlineStr">
        <is>
          <t>R06 Agent Contrôle documentaire (Import / Export)</t>
        </is>
      </c>
      <c r="D54" s="10" t="inlineStr">
        <is>
          <t>Rejet motivé</t>
        </is>
      </c>
      <c r="E54" s="10" t="inlineStr"/>
      <c r="F54" s="10" t="inlineStr">
        <is>
          <t>Rejeter une pièce avec un motif</t>
        </is>
      </c>
      <c r="G54" s="10" t="inlineStr">
        <is>
          <t>Client notifié avec le motif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R06-03</t>
        </is>
      </c>
      <c r="C55" s="10" t="inlineStr">
        <is>
          <t>R06 Agent Contrôle documentaire (Import / Export)</t>
        </is>
      </c>
      <c r="D55" s="10" t="inlineStr">
        <is>
          <t>Validation</t>
        </is>
      </c>
      <c r="E55" s="10" t="inlineStr"/>
      <c r="F55" s="10" t="inlineStr">
        <is>
          <t>Valider le contrôle</t>
        </is>
      </c>
      <c r="G55" s="10" t="inlineStr">
        <is>
          <t>Passage à la Facturation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R06-04</t>
        </is>
      </c>
      <c r="C56" s="10" t="inlineStr">
        <is>
          <t>R06 Agent Contrôle documentaire (Import / Export)</t>
        </is>
      </c>
      <c r="D56" s="10" t="inlineStr">
        <is>
          <t>Menu et accès interdit</t>
        </is>
      </c>
      <c r="E56" s="10" t="inlineStr"/>
      <c r="F56" s="10" t="inlineStr">
        <is>
          <t>Vérifier le menu ; saisir l'URL d'un écran d'un autre profil</t>
        </is>
      </c>
      <c r="G56" s="10" t="inlineStr">
        <is>
          <t>Menu limité au profil ; écran étranger refusé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R07-01</t>
        </is>
      </c>
      <c r="C57" s="10" t="inlineStr">
        <is>
          <t>R07 Agent Facturation (Import / Export)</t>
        </is>
      </c>
      <c r="D57" s="10" t="inlineStr">
        <is>
          <t>Éditer la facture</t>
        </is>
      </c>
      <c r="E57" s="10" t="inlineStr"/>
      <c r="F57" s="10" t="inlineStr">
        <is>
          <t>/billing-import/facturation ou /billing-export/facturation</t>
        </is>
      </c>
      <c r="G57" s="10" t="inlineStr">
        <is>
          <t>Facture émise ; montant conforme à la grille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R07-02</t>
        </is>
      </c>
      <c r="C58" s="10" t="inlineStr">
        <is>
          <t>R07 Agent Facturation (Import / Export)</t>
        </is>
      </c>
      <c r="D58" s="10" t="inlineStr">
        <is>
          <t>Transmettre au paiement</t>
        </is>
      </c>
      <c r="E58" s="10" t="inlineStr"/>
      <c r="F58" s="10" t="inlineStr">
        <is>
          <t>Valider l'étape</t>
        </is>
      </c>
      <c r="G58" s="10" t="inlineStr">
        <is>
          <t>Ticket en validation du paiement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R07-03</t>
        </is>
      </c>
      <c r="C59" s="10" t="inlineStr">
        <is>
          <t>R07 Agent Facturation (Import / Export)</t>
        </is>
      </c>
      <c r="D59" s="10" t="inlineStr">
        <is>
          <t>Menu et accès interdit</t>
        </is>
      </c>
      <c r="E59" s="10" t="inlineStr"/>
      <c r="F59" s="10" t="inlineStr">
        <is>
          <t>Vérifier le menu ; saisir l'URL d'un écran d'un autre profil</t>
        </is>
      </c>
      <c r="G59" s="10" t="inlineStr">
        <is>
          <t>Menu limité au profil ; écran étranger refusé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R08-01</t>
        </is>
      </c>
      <c r="C60" s="10" t="inlineStr">
        <is>
          <t>R08 Agent Validation paiement</t>
        </is>
      </c>
      <c r="D60" s="10" t="inlineStr">
        <is>
          <t>Valider un paiement</t>
        </is>
      </c>
      <c r="E60" s="10" t="inlineStr"/>
      <c r="F60" s="10" t="inlineStr">
        <is>
          <t>/billing-import/validation-paiement ou /billing-export/validation-paiement : contrôler la preuve de paiement</t>
        </is>
      </c>
      <c r="G60" s="10" t="inlineStr">
        <is>
          <t>Paiement validé ; passage en comptabilité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R08-02</t>
        </is>
      </c>
      <c r="C61" s="10" t="inlineStr">
        <is>
          <t>R08 Agent Validation paiement</t>
        </is>
      </c>
      <c r="D61" s="10" t="inlineStr">
        <is>
          <t>Refuser un paiement</t>
        </is>
      </c>
      <c r="E61" s="10" t="inlineStr"/>
      <c r="F61" s="10" t="inlineStr">
        <is>
          <t>Refuser avec un motif</t>
        </is>
      </c>
      <c r="G61" s="10" t="inlineStr">
        <is>
          <t>Client notifié ; ticket bloqué à l'étape paiement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R08-03</t>
        </is>
      </c>
      <c r="C62" s="10" t="inlineStr">
        <is>
          <t>R08 Agent Validation paiement</t>
        </is>
      </c>
      <c r="D62" s="10" t="inlineStr">
        <is>
          <t>Menu et accès interdit</t>
        </is>
      </c>
      <c r="E62" s="10" t="inlineStr"/>
      <c r="F62" s="10" t="inlineStr">
        <is>
          <t>Vérifier le menu ; saisir l'URL d'un écran d'un autre profil</t>
        </is>
      </c>
      <c r="G62" s="10" t="inlineStr">
        <is>
          <t>Menu limité au profil ; écran étranger refusé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R09-01</t>
        </is>
      </c>
      <c r="C63" s="10" t="inlineStr">
        <is>
          <t>R09 Comptabilité (lettrage)</t>
        </is>
      </c>
      <c r="D63" s="10" t="inlineStr">
        <is>
          <t>Confirmer le lettrage</t>
        </is>
      </c>
      <c r="E63" s="10" t="inlineStr"/>
      <c r="F63" s="10" t="inlineStr">
        <is>
          <t>/billing-import/comptabilite-client ou /billing-export/comptabilite</t>
        </is>
      </c>
      <c r="G63" s="10" t="inlineStr">
        <is>
          <t>Lettrage confirmé ; dossier clôturé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R09-02</t>
        </is>
      </c>
      <c r="C64" s="10" t="inlineStr">
        <is>
          <t>R09 Comptabilité (lettrage)</t>
        </is>
      </c>
      <c r="D64" s="10" t="inlineStr">
        <is>
          <t>Consulter un ticket clôturé</t>
        </is>
      </c>
      <c r="E64" s="10" t="inlineStr"/>
      <c r="F64" s="10" t="inlineStr">
        <is>
          <t>/billing-import/ticket-cloture</t>
        </is>
      </c>
      <c r="G64" s="10" t="inlineStr">
        <is>
          <t>Ticket en lecture seule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R09-03</t>
        </is>
      </c>
      <c r="C65" s="10" t="inlineStr">
        <is>
          <t>R09 Comptabilité (lettrage)</t>
        </is>
      </c>
      <c r="D65" s="10" t="inlineStr">
        <is>
          <t>Menu et accès interdit</t>
        </is>
      </c>
      <c r="E65" s="10" t="inlineStr"/>
      <c r="F65" s="10" t="inlineStr">
        <is>
          <t>Vérifier le menu ; saisir l'URL d'un écran d'un autre profil</t>
        </is>
      </c>
      <c r="G65" s="10" t="inlineStr">
        <is>
          <t>Menu limité au profil ; écran étranger refusé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R10-01</t>
        </is>
      </c>
      <c r="C66" s="10" t="inlineStr">
        <is>
          <t>R10 Agent IES (Import / Export)</t>
        </is>
      </c>
      <c r="D66" s="10" t="inlineStr">
        <is>
          <t>Traitement IES Import</t>
        </is>
      </c>
      <c r="E66" s="10" t="inlineStr"/>
      <c r="F66" s="10" t="inlineStr">
        <is>
          <t>/billing-import/ies : instruire manifeste et contrôle documentaire IES</t>
        </is>
      </c>
      <c r="G66" s="10" t="inlineStr">
        <is>
          <t>Étapes IES validées et tracées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R10-02</t>
        </is>
      </c>
      <c r="C67" s="10" t="inlineStr">
        <is>
          <t>R10 Agent IES (Import / Export)</t>
        </is>
      </c>
      <c r="D67" s="10" t="inlineStr">
        <is>
          <t>Traitement IES Export</t>
        </is>
      </c>
      <c r="E67" s="10" t="inlineStr"/>
      <c r="F67" s="10" t="inlineStr">
        <is>
          <t>/billing-export/ies</t>
        </is>
      </c>
      <c r="G67" s="10" t="inlineStr">
        <is>
          <t>Idem côté Export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R10-03</t>
        </is>
      </c>
      <c r="C68" s="10" t="inlineStr">
        <is>
          <t>R10 Agent IES (Import / Export)</t>
        </is>
      </c>
      <c r="D68" s="10" t="inlineStr">
        <is>
          <t>Menu et accès interdit</t>
        </is>
      </c>
      <c r="E68" s="10" t="inlineStr"/>
      <c r="F68" s="10" t="inlineStr">
        <is>
          <t>Vérifier le menu ; saisir l'URL d'un écran d'un autre profil</t>
        </is>
      </c>
      <c r="G68" s="10" t="inlineStr">
        <is>
          <t>Menu limité au profil ; écran étranger refusé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R11-01</t>
        </is>
      </c>
      <c r="C69" s="10" t="inlineStr">
        <is>
          <t>R11 Agent Back Office Export</t>
        </is>
      </c>
      <c r="D69" s="10" t="inlineStr">
        <is>
          <t>Instruire un dossier Export</t>
        </is>
      </c>
      <c r="E69" s="10" t="inlineStr"/>
      <c r="F69" s="10" t="inlineStr">
        <is>
          <t>/billing-export/back-office : prendre en charge, compléter, valider</t>
        </is>
      </c>
      <c r="G69" s="10" t="inlineStr">
        <is>
          <t>Passage au Contrôle documentaire Export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R11-02</t>
        </is>
      </c>
      <c r="C70" s="10" t="inlineStr">
        <is>
          <t>R11 Agent Back Office Export</t>
        </is>
      </c>
      <c r="D70" s="10" t="inlineStr">
        <is>
          <t>Menu et accès interdit</t>
        </is>
      </c>
      <c r="E70" s="10" t="inlineStr"/>
      <c r="F70" s="10" t="inlineStr">
        <is>
          <t>Vérifier le menu ; saisir l'URL d'un écran d'un autre profil</t>
        </is>
      </c>
      <c r="G70" s="10" t="inlineStr">
        <is>
          <t>Menu limité au profil ; écran étranger refusé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R12-01</t>
        </is>
      </c>
      <c r="C71" s="10" t="inlineStr">
        <is>
          <t>R12 Agent Guichet (Billing Office)</t>
        </is>
      </c>
      <c r="D71" s="10" t="inlineStr">
        <is>
          <t>Recherche rapide</t>
        </is>
      </c>
      <c r="E71" s="10" t="inlineStr"/>
      <c r="F71" s="10" t="inlineStr">
        <is>
          <t>/guichet/recherche : par n° de BL, de ticket ou société</t>
        </is>
      </c>
      <c r="G71" s="10" t="inlineStr">
        <is>
          <t>Dossier trouvé ; consultation sans ressaisie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R12-02</t>
        </is>
      </c>
      <c r="C72" s="10" t="inlineStr">
        <is>
          <t>R12 Agent Guichet (Billing Office)</t>
        </is>
      </c>
      <c r="D72" s="10" t="inlineStr">
        <is>
          <t>Aperçu des pièces</t>
        </is>
      </c>
      <c r="E72" s="10" t="inlineStr"/>
      <c r="F72" s="10" t="inlineStr">
        <is>
          <t>Dans le dossier consulté : 👁 Ouvrir</t>
        </is>
      </c>
      <c r="G72" s="10" t="inlineStr">
        <is>
          <t>Pièce affichée dans l'application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R12-03</t>
        </is>
      </c>
      <c r="C73" s="10" t="inlineStr">
        <is>
          <t>R12 Agent Guichet (Billing Office)</t>
        </is>
      </c>
      <c r="D73" s="10" t="inlineStr">
        <is>
          <t>Agenda par période</t>
        </is>
      </c>
      <c r="E73" s="10" t="inlineStr"/>
      <c r="F73" s="10" t="inlineStr">
        <is>
          <t>/guichet/agenda : vues Jour, Semaine de travail, Semaine, Mois ; Aujourd'hui, précédent/suivant, sélecteur de date</t>
        </is>
      </c>
      <c r="G73" s="10" t="inlineStr">
        <is>
          <t>Rendez-vous au bon jour et à la bonne heure ; « +N » en vue Mois au-delà de 3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R12-04</t>
        </is>
      </c>
      <c r="C74" s="10" t="inlineStr">
        <is>
          <t>R12 Agent Guichet (Billing Office)</t>
        </is>
      </c>
      <c r="D74" s="10" t="inlineStr">
        <is>
          <t>Constater la présence</t>
        </is>
      </c>
      <c r="E74" s="10" t="inlineStr"/>
      <c r="F74" s="10" t="inlineStr">
        <is>
          <t>Marquer un rendez-vous Honoré puis un autre Non présenté</t>
        </is>
      </c>
      <c r="G74" s="10" t="inlineStr">
        <is>
          <t>Statuts mis à jour et horodatés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R12-05</t>
        </is>
      </c>
      <c r="C75" s="10" t="inlineStr">
        <is>
          <t>R12 Agent Guichet (Billing Office)</t>
        </is>
      </c>
      <c r="D75" s="10" t="inlineStr">
        <is>
          <t>Mode dégradé</t>
        </is>
      </c>
      <c r="E75" s="10" t="inlineStr"/>
      <c r="F75" s="10" t="inlineStr">
        <is>
          <t>Régulariser une opération faite hors système</t>
        </is>
      </c>
      <c r="G75" s="10" t="inlineStr">
        <is>
          <t>Régularisation tracée au journal d'audit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R12-06</t>
        </is>
      </c>
      <c r="C76" s="10" t="inlineStr">
        <is>
          <t>R12 Agent Guichet (Billing Office)</t>
        </is>
      </c>
      <c r="D76" s="10" t="inlineStr">
        <is>
          <t>Menu et accès interdit</t>
        </is>
      </c>
      <c r="E76" s="10" t="inlineStr"/>
      <c r="F76" s="10" t="inlineStr">
        <is>
          <t>Vérifier le menu ; saisir l'URL d'un écran d'un autre profil</t>
        </is>
      </c>
      <c r="G76" s="10" t="inlineStr">
        <is>
          <t>Menu limité au profil ; écran étranger refusé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R13-01</t>
        </is>
      </c>
      <c r="C77" s="10" t="inlineStr">
        <is>
          <t>R13 Agent Réclamations</t>
        </is>
      </c>
      <c r="D77" s="10" t="inlineStr">
        <is>
          <t>Instruire</t>
        </is>
      </c>
      <c r="E77" s="10" t="inlineStr"/>
      <c r="F77" s="10" t="inlineStr">
        <is>
          <t>/reclamations/file : prendre en charge, répondre</t>
        </is>
      </c>
      <c r="G77" s="10" t="inlineStr">
        <is>
          <t>Client notifié ; réponse horodatée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R13-02</t>
        </is>
      </c>
      <c r="C78" s="10" t="inlineStr">
        <is>
          <t>R13 Agent Réclamations</t>
        </is>
      </c>
      <c r="D78" s="10" t="inlineStr">
        <is>
          <t>Clôturer</t>
        </is>
      </c>
      <c r="E78" s="10" t="inlineStr"/>
      <c r="F78" s="10" t="inlineStr">
        <is>
          <t>Clôturer la réclamation</t>
        </is>
      </c>
      <c r="G78" s="10" t="inlineStr">
        <is>
          <t>Statut Clôturé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R13-03</t>
        </is>
      </c>
      <c r="C79" s="10" t="inlineStr">
        <is>
          <t>R13 Agent Réclamations</t>
        </is>
      </c>
      <c r="D79" s="10" t="inlineStr">
        <is>
          <t>Menu et accès interdit</t>
        </is>
      </c>
      <c r="E79" s="10" t="inlineStr"/>
      <c r="F79" s="10" t="inlineStr">
        <is>
          <t>Vérifier le menu ; saisir l'URL d'un écran d'un autre profil</t>
        </is>
      </c>
      <c r="G79" s="10" t="inlineStr">
        <is>
          <t>Menu limité au profil ; écran étranger refusé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R14-01</t>
        </is>
      </c>
      <c r="C80" s="10" t="inlineStr">
        <is>
          <t>R14 Agent Gate (enrôlement)</t>
        </is>
      </c>
      <c r="D80" s="10" t="inlineStr">
        <is>
          <t>Instruire</t>
        </is>
      </c>
      <c r="E80" s="10" t="inlineStr"/>
      <c r="F80" s="10" t="inlineStr">
        <is>
          <t>/enrolement/file-agent-gate : vérifier les pièces, demander un complément</t>
        </is>
      </c>
      <c r="G80" s="10" t="inlineStr">
        <is>
          <t>Transporteur notifié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R14-02</t>
        </is>
      </c>
      <c r="C81" s="10" t="inlineStr">
        <is>
          <t>R14 Agent Gate (enrôlement)</t>
        </is>
      </c>
      <c r="D81" s="10" t="inlineStr">
        <is>
          <t>Valider et convoquer</t>
        </is>
      </c>
      <c r="E81" s="10" t="inlineStr"/>
      <c r="F81" s="10" t="inlineStr">
        <is>
          <t>Valider, fixer une convocation, constater la remise du badge</t>
        </is>
      </c>
      <c r="G81" s="10" t="inlineStr">
        <is>
          <t>Étapes horodatées ; enrôlement terminé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R14-03</t>
        </is>
      </c>
      <c r="C82" s="10" t="inlineStr">
        <is>
          <t>R14 Agent Gate (enrôlement)</t>
        </is>
      </c>
      <c r="D82" s="10" t="inlineStr">
        <is>
          <t>Menu et accès interdit</t>
        </is>
      </c>
      <c r="E82" s="10" t="inlineStr"/>
      <c r="F82" s="10" t="inlineStr">
        <is>
          <t>Vérifier le menu ; saisir l'URL d'un écran d'un autre profil</t>
        </is>
      </c>
      <c r="G82" s="10" t="inlineStr">
        <is>
          <t>Menu limité au profil ; écran étranger refusé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R15-01</t>
        </is>
      </c>
      <c r="C83" s="10" t="inlineStr">
        <is>
          <t>R15 Instructeur / décideur Avoir &amp; Exonération</t>
        </is>
      </c>
      <c r="D83" s="10" t="inlineStr">
        <is>
          <t>Instruire</t>
        </is>
      </c>
      <c r="E83" s="10" t="inlineStr"/>
      <c r="F83" s="10" t="inlineStr">
        <is>
          <t>/avoir-exoneration/file : ouvrir une demande</t>
        </is>
      </c>
      <c r="G83" s="10" t="inlineStr">
        <is>
          <t>Fiche complète ; pièces en aperçu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R15-02</t>
        </is>
      </c>
      <c r="C84" s="10" t="inlineStr">
        <is>
          <t>R15 Instructeur / décideur Avoir &amp; Exonération</t>
        </is>
      </c>
      <c r="D84" s="10" t="inlineStr">
        <is>
          <t>Décider</t>
        </is>
      </c>
      <c r="E84" s="10" t="inlineStr"/>
      <c r="F84" s="10" t="inlineStr">
        <is>
          <t>Accorder, puis rejeter une autre demande avec motif</t>
        </is>
      </c>
      <c r="G84" s="10" t="inlineStr">
        <is>
          <t>Décision horodatée ; client notifié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R15-03</t>
        </is>
      </c>
      <c r="C85" s="10" t="inlineStr">
        <is>
          <t>R15 Instructeur / décideur Avoir &amp; Exonération</t>
        </is>
      </c>
      <c r="D85" s="10" t="inlineStr">
        <is>
          <t>Séparation des droits</t>
        </is>
      </c>
      <c r="E85" s="10" t="inlineStr"/>
      <c r="F85" s="10" t="inlineStr">
        <is>
          <t>Un instructeur Avoir sans droit Exonération tente d'instruire une Exonération</t>
        </is>
      </c>
      <c r="G85" s="10" t="inlineStr">
        <is>
          <t>Action refusée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R15-04</t>
        </is>
      </c>
      <c r="C86" s="10" t="inlineStr">
        <is>
          <t>R15 Instructeur / décideur Avoir &amp; Exonération</t>
        </is>
      </c>
      <c r="D86" s="10" t="inlineStr">
        <is>
          <t>Menu et accès interdit</t>
        </is>
      </c>
      <c r="E86" s="10" t="inlineStr"/>
      <c r="F86" s="10" t="inlineStr">
        <is>
          <t>Vérifier le menu ; saisir l'URL d'un écran d'un autre profil</t>
        </is>
      </c>
      <c r="G86" s="10" t="inlineStr">
        <is>
          <t>Menu limité au profil ; écran étranger refusé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R16-01</t>
        </is>
      </c>
      <c r="C87" s="10" t="inlineStr">
        <is>
          <t>R16 Superviseur</t>
        </is>
      </c>
      <c r="D87" s="10" t="inlineStr">
        <is>
          <t>Tableau de bord</t>
        </is>
      </c>
      <c r="E87" s="10" t="inlineStr"/>
      <c r="F87" s="10" t="inlineStr">
        <is>
          <t>/supervision : indicateurs, SLA, charge par file</t>
        </is>
      </c>
      <c r="G87" s="10" t="inlineStr">
        <is>
          <t>Chiffres cohérents avec les files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R16-02</t>
        </is>
      </c>
      <c r="C88" s="10" t="inlineStr">
        <is>
          <t>R16 Superviseur</t>
        </is>
      </c>
      <c r="D88" s="10" t="inlineStr">
        <is>
          <t>Réaffecter</t>
        </is>
      </c>
      <c r="E88" s="10" t="inlineStr"/>
      <c r="F88" s="10" t="inlineStr">
        <is>
          <t>Réaffecter un ticket à un autre agent</t>
        </is>
      </c>
      <c r="G88" s="10" t="inlineStr">
        <is>
          <t>Nouvel agent notifié ; historique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R16-03</t>
        </is>
      </c>
      <c r="C89" s="10" t="inlineStr">
        <is>
          <t>R16 Superviseur</t>
        </is>
      </c>
      <c r="D89" s="10" t="inlineStr">
        <is>
          <t>Action de masse</t>
        </is>
      </c>
      <c r="E89" s="10" t="inlineStr"/>
      <c r="F89" s="10" t="inlineStr">
        <is>
          <t>Sélectionner plusieurs tickets et les réaffecter</t>
        </is>
      </c>
      <c r="G89" s="10" t="inlineStr">
        <is>
          <t>Tous traités ; trace par ticket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R16-04</t>
        </is>
      </c>
      <c r="C90" s="10" t="inlineStr">
        <is>
          <t>R16 Superviseur</t>
        </is>
      </c>
      <c r="D90" s="10" t="inlineStr">
        <is>
          <t>Modifier une priorité</t>
        </is>
      </c>
      <c r="E90" s="10" t="inlineStr"/>
      <c r="F90" s="10" t="inlineStr">
        <is>
          <t>Changer la priorité d'un ticket</t>
        </is>
      </c>
      <c r="G90" s="10" t="inlineStr">
        <is>
          <t>Ordre de la file mis à jour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R16-05</t>
        </is>
      </c>
      <c r="C91" s="10" t="inlineStr">
        <is>
          <t>R16 Superviseur</t>
        </is>
      </c>
      <c r="D91" s="10" t="inlineStr">
        <is>
          <t>Export</t>
        </is>
      </c>
      <c r="E91" s="10" t="inlineStr"/>
      <c r="F91" s="10" t="inlineStr">
        <is>
          <t>Exporter en CSV</t>
        </is>
      </c>
      <c r="G91" s="10" t="inlineStr">
        <is>
          <t>Fichier conforme au périmètre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R16-06</t>
        </is>
      </c>
      <c r="C92" s="10" t="inlineStr">
        <is>
          <t>R16 Superviseur</t>
        </is>
      </c>
      <c r="D92" s="10" t="inlineStr">
        <is>
          <t>Menu et accès interdit</t>
        </is>
      </c>
      <c r="E92" s="10" t="inlineStr"/>
      <c r="F92" s="10" t="inlineStr">
        <is>
          <t>Vérifier le menu ; saisir l'URL d'un écran d'un autre profil</t>
        </is>
      </c>
      <c r="G92" s="10" t="inlineStr">
        <is>
          <t>Menu limité au profil ; écran étranger refusé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R17-01</t>
        </is>
      </c>
      <c r="C93" s="10" t="inlineStr">
        <is>
          <t>R17 Support IT N1 / N2</t>
        </is>
      </c>
      <c r="D93" s="10" t="inlineStr">
        <is>
          <t>File N1</t>
        </is>
      </c>
      <c r="E93" s="10" t="inlineStr"/>
      <c r="F93" s="10" t="inlineStr">
        <is>
          <t>/support/incidents/file : prendre en charge un incident</t>
        </is>
      </c>
      <c r="G93" s="10" t="inlineStr">
        <is>
          <t>Incident affecté ; SLA démarré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R17-02</t>
        </is>
      </c>
      <c r="C94" s="10" t="inlineStr">
        <is>
          <t>R17 Support IT N1 / N2</t>
        </is>
      </c>
      <c r="D94" s="10" t="inlineStr">
        <is>
          <t>Diagnostiquer</t>
        </is>
      </c>
      <c r="E94" s="10" t="inlineStr"/>
      <c r="F94" s="10" t="inlineStr">
        <is>
          <t>Rechercher le dossier au guichet ; consulter le journal d'audit</t>
        </is>
      </c>
      <c r="G94" s="10" t="inlineStr">
        <is>
          <t>Lecture seule : aucune modification de dossier possible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R17-03</t>
        </is>
      </c>
      <c r="C95" s="10" t="inlineStr">
        <is>
          <t>R17 Support IT N1 / N2</t>
        </is>
      </c>
      <c r="D95" s="10" t="inlineStr">
        <is>
          <t>Résoudre en N1</t>
        </is>
      </c>
      <c r="E95" s="10" t="inlineStr"/>
      <c r="F95" s="10" t="inlineStr">
        <is>
          <t>Répondre puis résoudre</t>
        </is>
      </c>
      <c r="G95" s="10" t="inlineStr">
        <is>
          <t>Déclarant notifié ; clôture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R17-04</t>
        </is>
      </c>
      <c r="C96" s="10" t="inlineStr">
        <is>
          <t>R17 Support IT N1 / N2</t>
        </is>
      </c>
      <c r="D96" s="10" t="inlineStr">
        <is>
          <t>Escalader en N2</t>
        </is>
      </c>
      <c r="E96" s="10" t="inlineStr"/>
      <c r="F96" s="10" t="inlineStr">
        <is>
          <t>Escalader avec un motif</t>
        </is>
      </c>
      <c r="G96" s="10" t="inlineStr">
        <is>
          <t>Incident dans la file N2 ; le N1 ne peut plus le traiter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R17-05</t>
        </is>
      </c>
      <c r="C97" s="10" t="inlineStr">
        <is>
          <t>R17 Support IT N1 / N2</t>
        </is>
      </c>
      <c r="D97" s="10" t="inlineStr">
        <is>
          <t>Résoudre en N2</t>
        </is>
      </c>
      <c r="E97" s="10" t="inlineStr"/>
      <c r="F97" s="10" t="inlineStr">
        <is>
          <t>Compte N2 : reprendre, résoudre, clôturer</t>
        </is>
      </c>
      <c r="G97" s="10" t="inlineStr">
        <is>
          <t>Déclarant notifié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R17-06</t>
        </is>
      </c>
      <c r="C98" s="10" t="inlineStr">
        <is>
          <t>R17 Support IT N1 / N2</t>
        </is>
      </c>
      <c r="D98" s="10" t="inlineStr">
        <is>
          <t>SLA dépassé</t>
        </is>
      </c>
      <c r="E98" s="10" t="inlineStr"/>
      <c r="F98" s="10" t="inlineStr">
        <is>
          <t>Laisser un incident dépasser son délai</t>
        </is>
      </c>
      <c r="G98" s="10" t="inlineStr">
        <is>
          <t>Alerte ou escalade automatique selon les règles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R17-07</t>
        </is>
      </c>
      <c r="C99" s="10" t="inlineStr">
        <is>
          <t>R17 Support IT N1 / N2</t>
        </is>
      </c>
      <c r="D99" s="10" t="inlineStr">
        <is>
          <t>Menu et accès interdit</t>
        </is>
      </c>
      <c r="E99" s="10" t="inlineStr"/>
      <c r="F99" s="10" t="inlineStr">
        <is>
          <t>Vérifier le menu ; saisir l'URL d'un écran d'un autre profil</t>
        </is>
      </c>
      <c r="G99" s="10" t="inlineStr">
        <is>
          <t>Menu limité au profil ; écran étranger refusé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R18-01</t>
        </is>
      </c>
      <c r="C100" s="10" t="inlineStr">
        <is>
          <t>R18 Administrateur fonctionnel</t>
        </is>
      </c>
      <c r="D100" s="10" t="inlineStr">
        <is>
          <t>Valider une demande de compte</t>
        </is>
      </c>
      <c r="E100" s="10" t="inlineStr"/>
      <c r="F100" s="10" t="inlineStr">
        <is>
          <t>/comptes/valider : valider une demande, en rejeter une autre avec motif</t>
        </is>
      </c>
      <c r="G100" s="10" t="inlineStr">
        <is>
          <t>Société créée ; demandeur rejeté notifié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R18-02</t>
        </is>
      </c>
      <c r="C101" s="10" t="inlineStr">
        <is>
          <t>R18 Administrateur fonctionnel</t>
        </is>
      </c>
      <c r="D101" s="10" t="inlineStr">
        <is>
          <t>Modifier le type client</t>
        </is>
      </c>
      <c r="E101" s="10" t="inlineStr"/>
      <c r="F101" s="10" t="inlineStr">
        <is>
          <t>/comptes/modifier-type</t>
        </is>
      </c>
      <c r="G101" s="10" t="inlineStr">
        <is>
          <t>Changement tracé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R18-03</t>
        </is>
      </c>
      <c r="C102" s="10" t="inlineStr">
        <is>
          <t>R18 Administrateur fonctionnel</t>
        </is>
      </c>
      <c r="D102" s="10" t="inlineStr">
        <is>
          <t>Comptes agents</t>
        </is>
      </c>
      <c r="E102" s="10" t="inlineStr"/>
      <c r="F102" s="10" t="inlineStr">
        <is>
          <t>/administration/comptes-agents : créer, attribuer des permissions, appliquer le profil Support N1, désactiver</t>
        </is>
      </c>
      <c r="G102" s="10" t="inlineStr">
        <is>
          <t>Droits effectifs à la reconnexion de l'agent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R18-04</t>
        </is>
      </c>
      <c r="C103" s="10" t="inlineStr">
        <is>
          <t>R18 Administrateur fonctionnel</t>
        </is>
      </c>
      <c r="D103" s="10" t="inlineStr">
        <is>
          <t>SLA et escalade</t>
        </is>
      </c>
      <c r="E103" s="10" t="inlineStr"/>
      <c r="F103" s="10" t="inlineStr">
        <is>
          <t>/administration/parametres-sla et /administration/regles-escalade</t>
        </is>
      </c>
      <c r="G103" s="10" t="inlineStr">
        <is>
          <t>Nouveaux délais appliqués aux nouveaux tickets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R18-05</t>
        </is>
      </c>
      <c r="C104" s="10" t="inlineStr">
        <is>
          <t>R18 Administrateur fonctionnel</t>
        </is>
      </c>
      <c r="D104" s="10" t="inlineStr">
        <is>
          <t>Files et workflow</t>
        </is>
      </c>
      <c r="E104" s="10" t="inlineStr"/>
      <c r="F104" s="10" t="inlineStr">
        <is>
          <t>strategie-file, matrice-transitions, motifs-transfert, pieces-exigees-etape, regles-priorite-automatique, priorites, etapes-bloquantes-annulation, libelles-statut</t>
        </is>
      </c>
      <c r="G104" s="10" t="inlineStr">
        <is>
          <t>Pris en compte sans redéploiement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R18-06</t>
        </is>
      </c>
      <c r="C105" s="10" t="inlineStr">
        <is>
          <t>R18 Administrateur fonctionnel</t>
        </is>
      </c>
      <c r="D105" s="10" t="inlineStr">
        <is>
          <t>Référentiels</t>
        </is>
      </c>
      <c r="E105" s="10" t="inlineStr"/>
      <c r="F105" s="10" t="inlineStr">
        <is>
          <t>champs-enrolement, catégories de réclamation, categories-incident, pieces-exigees-compte, competences-operateur, perimetres-supervision, disponibilite</t>
        </is>
      </c>
      <c r="G105" s="10" t="inlineStr">
        <is>
          <t>Valeurs visibles dans les formulaires concernés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R18-07</t>
        </is>
      </c>
      <c r="C106" s="10" t="inlineStr">
        <is>
          <t>R18 Administrateur fonctionnel</t>
        </is>
      </c>
      <c r="D106" s="10" t="inlineStr">
        <is>
          <t>Tarification</t>
        </is>
      </c>
      <c r="E106" s="10" t="inlineStr"/>
      <c r="F106" s="10" t="inlineStr">
        <is>
          <t>/admin/tarification : nouvelle version de grille avec date d'effet ; /admin/tarification/referentiels</t>
        </is>
      </c>
      <c r="G106" s="10" t="inlineStr">
        <is>
          <t>Les simulations suivantes utilisent la nouvelle grille ; les anciennes sont signalées obsolètes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R18-08</t>
        </is>
      </c>
      <c r="C107" s="10" t="inlineStr">
        <is>
          <t>R18 Administrateur fonctionnel</t>
        </is>
      </c>
      <c r="D107" s="10" t="inlineStr">
        <is>
          <t>Notifications et assistant</t>
        </is>
      </c>
      <c r="E107" s="10" t="inlineStr"/>
      <c r="F107" s="10" t="inlineStr">
        <is>
          <t>/administration/notifications et /administration/assistant</t>
        </is>
      </c>
      <c r="G107" s="10" t="inlineStr">
        <is>
          <t>Modèles et réponses appliqués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R18-09</t>
        </is>
      </c>
      <c r="C108" s="10" t="inlineStr">
        <is>
          <t>R18 Administrateur fonctionnel</t>
        </is>
      </c>
      <c r="D108" s="10" t="inlineStr">
        <is>
          <t>Journal d'audit</t>
        </is>
      </c>
      <c r="E108" s="10" t="inlineStr"/>
      <c r="F108" s="10" t="inlineStr">
        <is>
          <t>/administration/audit : filtrer par utilisateur, action, date</t>
        </is>
      </c>
      <c r="G108" s="10" t="inlineStr">
        <is>
          <t>Toutes les actions de la campagne apparaissent, à la seconde, non modifiables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R18-10</t>
        </is>
      </c>
      <c r="C109" s="10" t="inlineStr">
        <is>
          <t>R18 Administrateur fonctionnel</t>
        </is>
      </c>
      <c r="D109" s="10" t="inlineStr">
        <is>
          <t>Archives</t>
        </is>
      </c>
      <c r="E109" s="10" t="inlineStr"/>
      <c r="F109" s="10" t="inlineStr">
        <is>
          <t>/administration/archives</t>
        </is>
      </c>
      <c r="G109" s="10" t="inlineStr">
        <is>
          <t>Dossiers archivés consultables, date et heure d'archivage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R18-11</t>
        </is>
      </c>
      <c r="C110" s="10" t="inlineStr">
        <is>
          <t>R18 Administrateur fonctionnel</t>
        </is>
      </c>
      <c r="D110" s="10" t="inlineStr">
        <is>
          <t>Menu et accès interdit</t>
        </is>
      </c>
      <c r="E110" s="10" t="inlineStr"/>
      <c r="F110" s="10" t="inlineStr">
        <is>
          <t>Vérifier le menu ; saisir l'URL d'un écran d'un autre profil</t>
        </is>
      </c>
      <c r="G110" s="10" t="inlineStr">
        <is>
          <t>Menu limité au profil ; écran étranger refusé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R19-01</t>
        </is>
      </c>
      <c r="C111" s="10" t="inlineStr">
        <is>
          <t>R19 Super administrateur</t>
        </is>
      </c>
      <c r="D111" s="10" t="inlineStr">
        <is>
          <t>Changement d'espace</t>
        </is>
      </c>
      <c r="E111" s="10" t="inlineStr"/>
      <c r="F111" s="10" t="inlineStr">
        <is>
          <t>Sélecteur d'espace en haut du menu : Opérateur, Supervision, Administration…</t>
        </is>
      </c>
      <c r="G111" s="10" t="inlineStr">
        <is>
          <t>Menu filtré selon l'espace choisi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R19-02</t>
        </is>
      </c>
      <c r="C112" s="10" t="inlineStr">
        <is>
          <t>R19 Super administrateur</t>
        </is>
      </c>
      <c r="D112" s="10" t="inlineStr">
        <is>
          <t>Couverture N1 + N2</t>
        </is>
      </c>
      <c r="E112" s="10" t="inlineStr"/>
      <c r="F112" s="10" t="inlineStr">
        <is>
          <t>Traiter un incident N1 puis un incident N2</t>
        </is>
      </c>
      <c r="G112" s="10" t="inlineStr">
        <is>
          <t>Autorisé aux deux niveaux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R19-03</t>
        </is>
      </c>
      <c r="C113" s="10" t="inlineStr">
        <is>
          <t>R19 Super administrateur</t>
        </is>
      </c>
      <c r="D113" s="10" t="inlineStr">
        <is>
          <t>Dérogation au workflow</t>
        </is>
      </c>
      <c r="E113" s="10" t="inlineStr"/>
      <c r="F113" s="10" t="inlineStr">
        <is>
          <t>Déroger avec un motif sur un ticket</t>
        </is>
      </c>
      <c r="G113" s="10" t="inlineStr">
        <is>
          <t>Dérogation tracée au journal d'audit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R19-04</t>
        </is>
      </c>
      <c r="C114" s="10" t="inlineStr">
        <is>
          <t>R19 Super administrateur</t>
        </is>
      </c>
      <c r="D114" s="10" t="inlineStr">
        <is>
          <t>Menu et accès interdit</t>
        </is>
      </c>
      <c r="E114" s="10" t="inlineStr"/>
      <c r="F114" s="10" t="inlineStr">
        <is>
          <t>Vérifier le menu ; saisir l'URL d'un écran d'un autre profil</t>
        </is>
      </c>
      <c r="G114" s="10" t="inlineStr">
        <is>
          <t>Menu limité au profil ; écran étranger refusé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Bout en bout</t>
        </is>
      </c>
      <c r="B115" s="10" t="inlineStr">
        <is>
          <t>E2E-01</t>
        </is>
      </c>
      <c r="C115" s="10" t="inlineStr">
        <is>
          <t>Plusieurs</t>
        </is>
      </c>
      <c r="D115" s="10" t="inlineStr">
        <is>
          <t>Import complet</t>
        </is>
      </c>
      <c r="E115" s="10" t="inlineStr"/>
      <c r="F115" s="10" t="inlineStr">
        <is>
          <t>R02 soumet → R05 Manifeste → R06 Contrôle doc → R07 Facturation → R08 Paiement → R09 Lettrage → R02 consulte le dossier clôturé</t>
        </is>
      </c>
      <c r="G115" s="10" t="inlineStr">
        <is>
          <t>Chaque passage notifié, horodaté, visible dans la chronologie client et le journal d'audit ; SLA respecté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Bout en bout</t>
        </is>
      </c>
      <c r="B116" s="10" t="inlineStr">
        <is>
          <t>E2E-02</t>
        </is>
      </c>
      <c r="C116" s="10" t="inlineStr">
        <is>
          <t>Plusieurs</t>
        </is>
      </c>
      <c r="D116" s="10" t="inlineStr">
        <is>
          <t>Export complet</t>
        </is>
      </c>
      <c r="E116" s="10" t="inlineStr"/>
      <c r="F116" s="10" t="inlineStr">
        <is>
          <t>R02 soumet → R11 Back Office → R06 Contrôle doc → R07 Facturation → R08 Paiement → R09 Lettrage</t>
        </is>
      </c>
      <c r="G116" s="10" t="inlineStr">
        <is>
          <t>Mêmes attendus que l'Import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Bout en bout</t>
        </is>
      </c>
      <c r="B117" s="10" t="inlineStr">
        <is>
          <t>E2E-03</t>
        </is>
      </c>
      <c r="C117" s="10" t="inlineStr">
        <is>
          <t>Plusieurs</t>
        </is>
      </c>
      <c r="D117" s="10" t="inlineStr">
        <is>
          <t>Complément client</t>
        </is>
      </c>
      <c r="E117" s="10" t="inlineStr"/>
      <c r="F117" s="10" t="inlineStr">
        <is>
          <t>R05 demande un complément → R02 répond avec une pièce → R05 reprend</t>
        </is>
      </c>
      <c r="G117" s="10" t="inlineStr">
        <is>
          <t>SLA suspendu puis repris ; pièce visible en aperçu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Bout en bout</t>
        </is>
      </c>
      <c r="B118" s="10" t="inlineStr">
        <is>
          <t>E2E-04</t>
        </is>
      </c>
      <c r="C118" s="10" t="inlineStr">
        <is>
          <t>Plusieurs</t>
        </is>
      </c>
      <c r="D118" s="10" t="inlineStr">
        <is>
          <t>Enrôlement transporteur</t>
        </is>
      </c>
      <c r="E118" s="10" t="inlineStr"/>
      <c r="F118" s="10" t="inlineStr">
        <is>
          <t>R01 s'inscrit → R18 valide le compte → R04 soumet l'enrôlement → R14 instruit, convoque, remet le badge</t>
        </is>
      </c>
      <c r="G118" s="10" t="inlineStr">
        <is>
          <t>Transporteur enrôlé ; chaque étape notifiée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Bout en bout</t>
        </is>
      </c>
      <c r="B119" s="10" t="inlineStr">
        <is>
          <t>E2E-05</t>
        </is>
      </c>
      <c r="C119" s="10" t="inlineStr">
        <is>
          <t>Plusieurs</t>
        </is>
      </c>
      <c r="D119" s="10" t="inlineStr">
        <is>
          <t>Réclamation puis avoir</t>
        </is>
      </c>
      <c r="E119" s="10" t="inlineStr"/>
      <c r="F119" s="10" t="inlineStr">
        <is>
          <t>R02 réclame → R13 répond → R02 demande un avoir → R15 instruit et accorde</t>
        </is>
      </c>
      <c r="G119" s="10" t="inlineStr">
        <is>
          <t>Décision notifiée et tracée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Bout en bout</t>
        </is>
      </c>
      <c r="B120" s="10" t="inlineStr">
        <is>
          <t>E2E-06</t>
        </is>
      </c>
      <c r="C120" s="10" t="inlineStr">
        <is>
          <t>Plusieurs</t>
        </is>
      </c>
      <c r="D120" s="10" t="inlineStr">
        <is>
          <t>Rendez-vous guichet</t>
        </is>
      </c>
      <c r="E120" s="10" t="inlineStr"/>
      <c r="F120" s="10" t="inlineStr">
        <is>
          <t>R02 réserve → R12 voit le rendez-vous dans l'agenda (Jour / Semaine / Mois) → R12 constate la présence</t>
        </is>
      </c>
      <c r="G120" s="10" t="inlineStr">
        <is>
          <t>Statut Honoré ; client notifié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Bout en bout</t>
        </is>
      </c>
      <c r="B121" s="10" t="inlineStr">
        <is>
          <t>E2E-07</t>
        </is>
      </c>
      <c r="C121" s="10" t="inlineStr">
        <is>
          <t>Plusieurs</t>
        </is>
      </c>
      <c r="D121" s="10" t="inlineStr">
        <is>
          <t>Incident technique</t>
        </is>
      </c>
      <c r="E121" s="10" t="inlineStr"/>
      <c r="F121" s="10" t="inlineStr">
        <is>
          <t>R02 signale → R17 N1 diagnostique → escalade N2 → N2 résout</t>
        </is>
      </c>
      <c r="G121" s="10" t="inlineStr">
        <is>
          <t>Déclarant notifié à chaque étape ; SLA mesuré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Bout en bout</t>
        </is>
      </c>
      <c r="B122" s="10" t="inlineStr">
        <is>
          <t>E2E-08</t>
        </is>
      </c>
      <c r="C122" s="10" t="inlineStr">
        <is>
          <t>Plusieurs</t>
        </is>
      </c>
      <c r="D122" s="10" t="inlineStr">
        <is>
          <t>Nouvel agent</t>
        </is>
      </c>
      <c r="E122" s="10" t="inlineStr"/>
      <c r="F122" s="10" t="inlineStr">
        <is>
          <t>R18 crée l'agent → première connexion avec 2FA obligatoire → l'agent ne voit que ses écrans</t>
        </is>
      </c>
      <c r="G122" s="10" t="inlineStr">
        <is>
          <t>Aucun écran hors permissions ; accès direct par URL refusé</t>
        </is>
      </c>
      <c r="H122" s="11" t="n"/>
      <c r="I122" s="12" t="n"/>
      <c r="J122" s="11" t="n"/>
      <c r="K122" s="11" t="n"/>
      <c r="L122" s="11" t="n"/>
    </row>
  </sheetData>
  <autoFilter ref="A1:L122"/>
  <conditionalFormatting sqref="J2:J122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22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2026-09-26T22:28:29Z</dcterms:created>
  <dcterms:modified xmlns:dcterms="http://purl.org/dc/terms/" xmlns:xsi="http://www.w3.org/2001/XMLSchema-instance" xsi:type="dcterms:W3CDTF">2026-09-26T22:28:29Z</dcterms:modified>
</cp:coreProperties>
</file>