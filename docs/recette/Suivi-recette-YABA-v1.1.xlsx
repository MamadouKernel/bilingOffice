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Cas de test" sheetId="3" state="visible" r:id="rId3"/>
    <sheet xmlns:r="http://schemas.openxmlformats.org/officeDocument/2006/relationships" name="Anomalies" sheetId="4" state="visible" r:id="rId4"/>
  </sheets>
  <definedNames>
    <definedName name="_xlnm._FilterDatabase" localSheetId="2" hidden="1">'Cas de test'!$A$1:$L$140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0B3D6E"/>
      </patternFill>
    </fill>
    <fill>
      <patternFill patternType="solid">
        <fgColor rgb="00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Suivi de la campagne de recette fonctionnelle YABA</t>
        </is>
      </c>
    </row>
    <row r="2">
      <c r="A2" s="2" t="inlineStr"/>
    </row>
    <row r="3">
      <c r="A3" s="2" t="inlineStr">
        <is>
          <t>Cellules à remplir : fond jaune pâle dans « Cas de test » (Testeur, Date, Statut, N° anomalie, Commentaire) et dans « Anomalies ».</t>
        </is>
      </c>
    </row>
    <row r="4">
      <c r="A4" s="2" t="inlineStr">
        <is>
          <t>Statut : liste déroulante OK / KO / Bloqué / NT.</t>
        </is>
      </c>
    </row>
    <row r="5">
      <c r="A5" s="2" t="inlineStr">
        <is>
          <t>Date : saisir au format JJ/MM/AAAA.</t>
        </is>
      </c>
    </row>
    <row r="6">
      <c r="A6" s="2" t="inlineStr">
        <is>
          <t>Un KO porte toujours un numéro d'anomalie (ANO-001…) détaillé dans l'onglet « Anomalies ».</t>
        </is>
      </c>
    </row>
    <row r="7">
      <c r="A7" s="2" t="inlineStr">
        <is>
          <t>L'onglet « Synthèse » se calcule automatiquement à partir des statuts saisis.</t>
        </is>
      </c>
    </row>
    <row r="8">
      <c r="A8" s="2" t="inlineStr">
        <is>
          <t>Étapes détaillées, comptes de test et critères de sortie : voir le cahier de recette (Word).</t>
        </is>
      </c>
    </row>
    <row r="9">
      <c r="A9" s="2" t="inlineStr"/>
    </row>
    <row r="10">
      <c r="A10" s="2" t="inlineStr">
        <is>
          <t>Exemple de ligne remplie : Testeur « A. Kouassi », Date 29/09/2026, Statut KO, N° anomalie ANO-004, Commentaire « export Excel vide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Synthèse de la campagne</t>
        </is>
      </c>
    </row>
    <row r="3">
      <c r="A3" s="3" t="inlineStr">
        <is>
          <t>Catégorie</t>
        </is>
      </c>
      <c r="B3" s="3" t="inlineStr">
        <is>
          <t>Total</t>
        </is>
      </c>
      <c r="C3" s="3" t="inlineStr">
        <is>
          <t>OK</t>
        </is>
      </c>
      <c r="D3" s="3" t="inlineStr">
        <is>
          <t>KO</t>
        </is>
      </c>
      <c r="E3" s="3" t="inlineStr">
        <is>
          <t>Bloqué</t>
        </is>
      </c>
      <c r="F3" s="3" t="inlineStr">
        <is>
          <t>NT</t>
        </is>
      </c>
      <c r="G3" s="3" t="inlineStr">
        <is>
          <t>Non renseigné</t>
        </is>
      </c>
      <c r="H3" s="3" t="inlineStr">
        <is>
          <t>% exécuté</t>
        </is>
      </c>
      <c r="I3" s="3" t="inlineStr">
        <is>
          <t>% OK</t>
        </is>
      </c>
    </row>
    <row r="4">
      <c r="A4" s="4" t="inlineStr">
        <is>
          <t>Transverse</t>
        </is>
      </c>
      <c r="B4" s="4">
        <f>COUNTIF('Cas de test'!$A$2:$A$140,"Transverse")</f>
        <v/>
      </c>
      <c r="C4" s="4">
        <f>COUNTIFS('Cas de test'!$A$2:$A$140,"Transverse",'Cas de test'!$J$2:$J$140,"OK")</f>
        <v/>
      </c>
      <c r="D4" s="4">
        <f>COUNTIFS('Cas de test'!$A$2:$A$140,"Transverse",'Cas de test'!$J$2:$J$140,"KO")</f>
        <v/>
      </c>
      <c r="E4" s="4">
        <f>COUNTIFS('Cas de test'!$A$2:$A$140,"Transverse",'Cas de test'!$J$2:$J$140,"Bloqué")</f>
        <v/>
      </c>
      <c r="F4" s="4">
        <f>COUNTIFS('Cas de test'!$A$2:$A$140,"Transverse",'Cas de test'!$J$2:$J$140,"NT")</f>
        <v/>
      </c>
      <c r="G4" s="4">
        <f>B4-SUM(C4:F4)</f>
        <v/>
      </c>
      <c r="H4" s="5">
        <f>IF(B4=0,0,SUM(C4:E4)/B4)</f>
        <v/>
      </c>
      <c r="I4" s="5">
        <f>IF(B4=0,0,C4/B4)</f>
        <v/>
      </c>
    </row>
    <row r="5">
      <c r="A5" s="4" t="inlineStr">
        <is>
          <t>Parcours rôle</t>
        </is>
      </c>
      <c r="B5" s="4">
        <f>COUNTIF('Cas de test'!$A$2:$A$140,"Parcours rôle")</f>
        <v/>
      </c>
      <c r="C5" s="4">
        <f>COUNTIFS('Cas de test'!$A$2:$A$140,"Parcours rôle",'Cas de test'!$J$2:$J$140,"OK")</f>
        <v/>
      </c>
      <c r="D5" s="4">
        <f>COUNTIFS('Cas de test'!$A$2:$A$140,"Parcours rôle",'Cas de test'!$J$2:$J$140,"KO")</f>
        <v/>
      </c>
      <c r="E5" s="4">
        <f>COUNTIFS('Cas de test'!$A$2:$A$140,"Parcours rôle",'Cas de test'!$J$2:$J$140,"Bloqué")</f>
        <v/>
      </c>
      <c r="F5" s="4">
        <f>COUNTIFS('Cas de test'!$A$2:$A$140,"Parcours rôle",'Cas de test'!$J$2:$J$140,"NT")</f>
        <v/>
      </c>
      <c r="G5" s="4">
        <f>B5-SUM(C5:F5)</f>
        <v/>
      </c>
      <c r="H5" s="5">
        <f>IF(B5=0,0,SUM(C5:E5)/B5)</f>
        <v/>
      </c>
      <c r="I5" s="5">
        <f>IF(B5=0,0,C5/B5)</f>
        <v/>
      </c>
    </row>
    <row r="6">
      <c r="A6" s="4" t="inlineStr">
        <is>
          <t>Bout en bout</t>
        </is>
      </c>
      <c r="B6" s="4">
        <f>COUNTIF('Cas de test'!$A$2:$A$140,"Bout en bout")</f>
        <v/>
      </c>
      <c r="C6" s="4">
        <f>COUNTIFS('Cas de test'!$A$2:$A$140,"Bout en bout",'Cas de test'!$J$2:$J$140,"OK")</f>
        <v/>
      </c>
      <c r="D6" s="4">
        <f>COUNTIFS('Cas de test'!$A$2:$A$140,"Bout en bout",'Cas de test'!$J$2:$J$140,"KO")</f>
        <v/>
      </c>
      <c r="E6" s="4">
        <f>COUNTIFS('Cas de test'!$A$2:$A$140,"Bout en bout",'Cas de test'!$J$2:$J$140,"Bloqué")</f>
        <v/>
      </c>
      <c r="F6" s="4">
        <f>COUNTIFS('Cas de test'!$A$2:$A$140,"Bout en bout",'Cas de test'!$J$2:$J$140,"NT")</f>
        <v/>
      </c>
      <c r="G6" s="4">
        <f>B6-SUM(C6:F6)</f>
        <v/>
      </c>
      <c r="H6" s="5">
        <f>IF(B6=0,0,SUM(C6:E6)/B6)</f>
        <v/>
      </c>
      <c r="I6" s="5">
        <f>IF(B6=0,0,C6/B6)</f>
        <v/>
      </c>
    </row>
    <row r="7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6">
        <f>SUM(G4:G6)</f>
        <v/>
      </c>
      <c r="H7" s="7">
        <f>IF(B7=0,0,SUM(C7:E7)/B7)</f>
        <v/>
      </c>
      <c r="I7" s="7">
        <f>IF(B7=0,0,C7/B7)</f>
        <v/>
      </c>
    </row>
    <row r="10">
      <c r="A10" s="6" t="inlineStr">
        <is>
          <t>Anomalies non fermées</t>
        </is>
      </c>
    </row>
    <row r="11">
      <c r="A11" s="4" t="inlineStr">
        <is>
          <t>Bloquante</t>
        </is>
      </c>
      <c r="B11" s="4">
        <f>COUNTIFS(Anomalies!$E$2:$E$101,"Bloquante",Anomalies!$J$2:$J$101,"&lt;&gt;Fermée",Anomalies!$J$2:$J$101,"&lt;&gt;Vérifiée")</f>
        <v/>
      </c>
    </row>
    <row r="12">
      <c r="A12" s="4" t="inlineStr">
        <is>
          <t>Majeure</t>
        </is>
      </c>
      <c r="B12" s="4">
        <f>COUNTIFS(Anomalies!$E$2:$E$101,"Majeure",Anomalies!$J$2:$J$101,"&lt;&gt;Fermée",Anomalies!$J$2:$J$101,"&lt;&gt;Vérifiée")</f>
        <v/>
      </c>
    </row>
    <row r="13">
      <c r="A13" s="4" t="inlineStr">
        <is>
          <t>Mineure</t>
        </is>
      </c>
      <c r="B13" s="4">
        <f>COUNTIFS(Anomalies!$E$2:$E$101,"Mineure",Anomalies!$J$2:$J$101,"&lt;&gt;Fermée",Anomalies!$J$2:$J$101,"&lt;&gt;Vérifiée")</f>
        <v/>
      </c>
    </row>
    <row r="15">
      <c r="A15" s="8" t="inlineStr">
        <is>
          <t>Critère de sortie : 100 % exécuté et 0 anomalie bloquante non fermée.</t>
        </is>
      </c>
    </row>
    <row r="16">
      <c r="A16" s="6" t="inlineStr">
        <is>
          <t>Recette prononçable ?</t>
        </is>
      </c>
      <c r="B16" s="6">
        <f>IF(AND(H7=1,B11=0),"OUI","NON")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0" customWidth="1" min="4" max="4"/>
    <col width="22" customWidth="1" min="5" max="5"/>
    <col width="55" customWidth="1" min="6" max="6"/>
    <col width="45" customWidth="1" min="7" max="7"/>
    <col width="16" customWidth="1" min="8" max="8"/>
    <col width="12" customWidth="1" min="9" max="9"/>
    <col width="10" customWidth="1" min="10" max="10"/>
    <col width="13" customWidth="1" min="11" max="11"/>
    <col width="35" customWidth="1" min="12" max="12"/>
  </cols>
  <sheetData>
    <row r="1">
      <c r="A1" s="9" t="inlineStr">
        <is>
          <t>Catégorie</t>
        </is>
      </c>
      <c r="B1" s="9" t="inlineStr">
        <is>
          <t>ID</t>
        </is>
      </c>
      <c r="C1" s="9" t="inlineStr">
        <is>
          <t>Profil</t>
        </is>
      </c>
      <c r="D1" s="9" t="inlineStr">
        <is>
          <t>Cas de test</t>
        </is>
      </c>
      <c r="E1" s="9" t="inlineStr">
        <is>
          <t>Prérequis</t>
        </is>
      </c>
      <c r="F1" s="9" t="inlineStr">
        <is>
          <t>Étapes</t>
        </is>
      </c>
      <c r="G1" s="9" t="inlineStr">
        <is>
          <t>Résultat attendu</t>
        </is>
      </c>
      <c r="H1" s="9" t="inlineStr">
        <is>
          <t>Testeur</t>
        </is>
      </c>
      <c r="I1" s="9" t="inlineStr">
        <is>
          <t>Date</t>
        </is>
      </c>
      <c r="J1" s="9" t="inlineStr">
        <is>
          <t>Statut</t>
        </is>
      </c>
      <c r="K1" s="9" t="inlineStr">
        <is>
          <t>N° anomalie</t>
        </is>
      </c>
      <c r="L1" s="9" t="inlineStr">
        <is>
          <t>Commentaire</t>
        </is>
      </c>
    </row>
    <row r="2">
      <c r="A2" s="10" t="inlineStr">
        <is>
          <t>Transverse</t>
        </is>
      </c>
      <c r="B2" s="10" t="inlineStr">
        <is>
          <t>TR-01</t>
        </is>
      </c>
      <c r="C2" s="10" t="inlineStr">
        <is>
          <t>Tous</t>
        </is>
      </c>
      <c r="D2" s="10" t="inlineStr">
        <is>
          <t>Connexion valide</t>
        </is>
      </c>
      <c r="E2" s="10" t="inlineStr">
        <is>
          <t>Compte actif, 2FA configurée</t>
        </is>
      </c>
      <c r="F2" s="10" t="inlineStr">
        <is>
          <t>Ouvrir /comptes/connexion ; saisir e-mail et mot de passe ; saisir le code à 6 chiffres de l'application d'authentification</t>
        </is>
      </c>
      <c r="G2" s="10" t="inlineStr">
        <is>
          <t>Redirection vers l'espace du profil ; nom et espace affichés en haut à droite</t>
        </is>
      </c>
      <c r="H2" s="11" t="n"/>
      <c r="I2" s="12" t="n"/>
      <c r="J2" s="11" t="n"/>
      <c r="K2" s="11" t="n"/>
      <c r="L2" s="11" t="n"/>
    </row>
    <row r="3">
      <c r="A3" s="10" t="inlineStr">
        <is>
          <t>Transverse</t>
        </is>
      </c>
      <c r="B3" s="10" t="inlineStr">
        <is>
          <t>TR-02</t>
        </is>
      </c>
      <c r="C3" s="10" t="inlineStr">
        <is>
          <t>Tous</t>
        </is>
      </c>
      <c r="D3" s="10" t="inlineStr">
        <is>
          <t>Connexion refusée</t>
        </is>
      </c>
      <c r="E3" s="10" t="inlineStr">
        <is>
          <t>—</t>
        </is>
      </c>
      <c r="F3" s="10" t="inlineStr">
        <is>
          <t>Saisir un mot de passe erroné plusieurs fois</t>
        </is>
      </c>
      <c r="G3" s="10" t="inlineStr">
        <is>
          <t>Message générique (sans dire si l'e-mail existe) ; verrouillage temporaire après plusieurs échecs ; aucun accès</t>
        </is>
      </c>
      <c r="H3" s="11" t="n"/>
      <c r="I3" s="12" t="n"/>
      <c r="J3" s="11" t="n"/>
      <c r="K3" s="11" t="n"/>
      <c r="L3" s="11" t="n"/>
    </row>
    <row r="4">
      <c r="A4" s="10" t="inlineStr">
        <is>
          <t>Transverse</t>
        </is>
      </c>
      <c r="B4" s="10" t="inlineStr">
        <is>
          <t>TR-03</t>
        </is>
      </c>
      <c r="C4" s="10" t="inlineStr">
        <is>
          <t>Tous</t>
        </is>
      </c>
      <c r="D4" s="10" t="inlineStr">
        <is>
          <t>2FA obligatoire à la première connexion</t>
        </is>
      </c>
      <c r="E4" s="10" t="inlineStr">
        <is>
          <t>Compte neuf sans 2FA</t>
        </is>
      </c>
      <c r="F4" s="10" t="inlineStr">
        <is>
          <t>Se connecter ; constater la redirection vers /comptes/double-authentification ; scanner le QR code avec Google Authenticator, Microsoft Authenticator ou l'app Mots de passe (iPhone) ; saisir le code</t>
        </is>
      </c>
      <c r="G4" s="10" t="inlineStr">
        <is>
          <t>Aucune autre page accessible tant que la 2FA n'est pas activée ; après validation, accès normal ; pas de bouton de désactivation</t>
        </is>
      </c>
      <c r="H4" s="11" t="n"/>
      <c r="I4" s="12" t="n"/>
      <c r="J4" s="11" t="n"/>
      <c r="K4" s="11" t="n"/>
      <c r="L4" s="11" t="n"/>
    </row>
    <row r="5">
      <c r="A5" s="10" t="inlineStr">
        <is>
          <t>Transverse</t>
        </is>
      </c>
      <c r="B5" s="10" t="inlineStr">
        <is>
          <t>TR-04</t>
        </is>
      </c>
      <c r="C5" s="10" t="inlineStr">
        <is>
          <t>Tous</t>
        </is>
      </c>
      <c r="D5" s="10" t="inlineStr">
        <is>
          <t>Mot de passe oublié</t>
        </is>
      </c>
      <c r="E5" s="10" t="inlineStr">
        <is>
          <t>Boîte mail accessible</t>
        </is>
      </c>
      <c r="F5" s="10" t="inlineStr">
        <is>
          <t>/comptes/mot-de-passe-oublie ; saisir l'e-mail ; ouvrir le lien reçu ; définir un nouveau mot de passe</t>
        </is>
      </c>
      <c r="G5" s="10" t="inlineStr">
        <is>
          <t>Le lien n'apparaît JAMAIS à l'écran, uniquement dans l'e-mail ; même message que l'e-mail existe ou non ; lien inutilisable une seconde fois</t>
        </is>
      </c>
      <c r="H5" s="11" t="n"/>
      <c r="I5" s="12" t="n"/>
      <c r="J5" s="11" t="n"/>
      <c r="K5" s="11" t="n"/>
      <c r="L5" s="11" t="n"/>
    </row>
    <row r="6">
      <c r="A6" s="10" t="inlineStr">
        <is>
          <t>Transverse</t>
        </is>
      </c>
      <c r="B6" s="10" t="inlineStr">
        <is>
          <t>TR-05</t>
        </is>
      </c>
      <c r="C6" s="10" t="inlineStr">
        <is>
          <t>Tous</t>
        </is>
      </c>
      <c r="D6" s="10" t="inlineStr">
        <is>
          <t>Déconnexion</t>
        </is>
      </c>
      <c r="E6" s="10" t="inlineStr">
        <is>
          <t>Connecté</t>
        </is>
      </c>
      <c r="F6" s="10" t="inlineStr">
        <is>
          <t>Menu utilisateur &gt; Déconnexion ; bouton Précédent du navigateur</t>
        </is>
      </c>
      <c r="G6" s="10" t="inlineStr">
        <is>
          <t>Retour à la connexion ; aucune page protégée réaffichée</t>
        </is>
      </c>
      <c r="H6" s="11" t="n"/>
      <c r="I6" s="12" t="n"/>
      <c r="J6" s="11" t="n"/>
      <c r="K6" s="11" t="n"/>
      <c r="L6" s="11" t="n"/>
    </row>
    <row r="7">
      <c r="A7" s="10" t="inlineStr">
        <is>
          <t>Transverse</t>
        </is>
      </c>
      <c r="B7" s="10" t="inlineStr">
        <is>
          <t>TR-06</t>
        </is>
      </c>
      <c r="C7" s="10" t="inlineStr">
        <is>
          <t>Tous</t>
        </is>
      </c>
      <c r="D7" s="10" t="inlineStr">
        <is>
          <t>Accès direct par URL</t>
        </is>
      </c>
      <c r="E7" s="10" t="inlineStr">
        <is>
          <t>Connecté avec un profil limité</t>
        </is>
      </c>
      <c r="F7" s="10" t="inlineStr">
        <is>
          <t>Saisir l'URL d'un écran non autorisé (ex. /administration/comptes-agents)</t>
        </is>
      </c>
      <c r="G7" s="10" t="inlineStr">
        <is>
          <t>Page « Accès refusé » ; aucune donnée affichée</t>
        </is>
      </c>
      <c r="H7" s="11" t="n"/>
      <c r="I7" s="12" t="n"/>
      <c r="J7" s="11" t="n"/>
      <c r="K7" s="11" t="n"/>
      <c r="L7" s="11" t="n"/>
    </row>
    <row r="8">
      <c r="A8" s="10" t="inlineStr">
        <is>
          <t>Transverse</t>
        </is>
      </c>
      <c r="B8" s="10" t="inlineStr">
        <is>
          <t>TR-07</t>
        </is>
      </c>
      <c r="C8" s="10" t="inlineStr">
        <is>
          <t>Tous</t>
        </is>
      </c>
      <c r="D8" s="10" t="inlineStr">
        <is>
          <t>Cloisonnement des sociétés</t>
        </is>
      </c>
      <c r="E8" s="10" t="inlineStr">
        <is>
          <t>2 comptes clients de sociétés différentes</t>
        </is>
      </c>
      <c r="F8" s="10" t="inlineStr">
        <is>
          <t>Avec la société A, copier l'URL d'un ticket ; l'ouvrir connecté avec la société B</t>
        </is>
      </c>
      <c r="G8" s="10" t="inlineStr">
        <is>
          <t>Accès refusé ; aucune donnée de A visible</t>
        </is>
      </c>
      <c r="H8" s="11" t="n"/>
      <c r="I8" s="12" t="n"/>
      <c r="J8" s="11" t="n"/>
      <c r="K8" s="11" t="n"/>
      <c r="L8" s="11" t="n"/>
    </row>
    <row r="9">
      <c r="A9" s="10" t="inlineStr">
        <is>
          <t>Transverse</t>
        </is>
      </c>
      <c r="B9" s="10" t="inlineStr">
        <is>
          <t>TR-08</t>
        </is>
      </c>
      <c r="C9" s="10" t="inlineStr">
        <is>
          <t>Tous</t>
        </is>
      </c>
      <c r="D9" s="10" t="inlineStr">
        <is>
          <t>Langue FR / EN</t>
        </is>
      </c>
      <c r="E9" s="10" t="inlineStr">
        <is>
          <t>—</t>
        </is>
      </c>
      <c r="F9" s="10" t="inlineStr">
        <is>
          <t>Basculer FR ⇄ EN sur plusieurs écrans</t>
        </is>
      </c>
      <c r="G9" s="10" t="inlineStr">
        <is>
          <t>Tous les libellés traduits ; aucune clé technique (ex. « Dash.Title ») affichée</t>
        </is>
      </c>
      <c r="H9" s="11" t="n"/>
      <c r="I9" s="12" t="n"/>
      <c r="J9" s="11" t="n"/>
      <c r="K9" s="11" t="n"/>
      <c r="L9" s="11" t="n"/>
    </row>
    <row r="10">
      <c r="A10" s="10" t="inlineStr">
        <is>
          <t>Transverse</t>
        </is>
      </c>
      <c r="B10" s="10" t="inlineStr">
        <is>
          <t>TR-09</t>
        </is>
      </c>
      <c r="C10" s="10" t="inlineStr">
        <is>
          <t>Tous</t>
        </is>
      </c>
      <c r="D10" s="10" t="inlineStr">
        <is>
          <t>Thème clair / sombre</t>
        </is>
      </c>
      <c r="E10" s="10" t="inlineStr">
        <is>
          <t>—</t>
        </is>
      </c>
      <c r="F10" s="10" t="inlineStr">
        <is>
          <t>Basculer le thème ; naviguer sur 3 pages ; provoquer une erreur de saisie</t>
        </is>
      </c>
      <c r="G10" s="10" t="inlineStr">
        <is>
          <t>Le thème choisi est conservé partout ; textes lisibles</t>
        </is>
      </c>
      <c r="H10" s="11" t="n"/>
      <c r="I10" s="12" t="n"/>
      <c r="J10" s="11" t="n"/>
      <c r="K10" s="11" t="n"/>
      <c r="L10" s="11" t="n"/>
    </row>
    <row r="11">
      <c r="A11" s="10" t="inlineStr">
        <is>
          <t>Transverse</t>
        </is>
      </c>
      <c r="B11" s="10" t="inlineStr">
        <is>
          <t>TR-10</t>
        </is>
      </c>
      <c r="C11" s="10" t="inlineStr">
        <is>
          <t>Tous</t>
        </is>
      </c>
      <c r="D11" s="10" t="inlineStr">
        <is>
          <t>Pagination des tables</t>
        </is>
      </c>
      <c r="E11" s="10" t="inlineStr">
        <is>
          <t>Table de plus de 10 lignes</t>
        </is>
      </c>
      <c r="F11" s="10" t="inlineStr">
        <is>
          <t>Changer de page et de taille de page</t>
        </is>
      </c>
      <c r="G11" s="10" t="inlineStr">
        <is>
          <t>Compteur « x–y sur N » exact ; aucune ligne perdue ni dupliquée</t>
        </is>
      </c>
      <c r="H11" s="11" t="n"/>
      <c r="I11" s="12" t="n"/>
      <c r="J11" s="11" t="n"/>
      <c r="K11" s="11" t="n"/>
      <c r="L11" s="11" t="n"/>
    </row>
    <row r="12">
      <c r="A12" s="10" t="inlineStr">
        <is>
          <t>Transverse</t>
        </is>
      </c>
      <c r="B12" s="10" t="inlineStr">
        <is>
          <t>TR-11</t>
        </is>
      </c>
      <c r="C12" s="10" t="inlineStr">
        <is>
          <t>Tous</t>
        </is>
      </c>
      <c r="D12" s="10" t="inlineStr">
        <is>
          <t>Filtre des tables</t>
        </is>
      </c>
      <c r="E12" s="10" t="inlineStr">
        <is>
          <t>Table remplie</t>
        </is>
      </c>
      <c r="F12" s="10" t="inlineStr">
        <is>
          <t>Saisir un numéro, un nom, une date (ex. 26/09/2026), avec et sans accents</t>
        </is>
      </c>
      <c r="G12" s="10" t="inlineStr">
        <is>
          <t>Seules les lignes correspondantes restent ; compteur « N sur M » ; effacer le filtre restaure la liste</t>
        </is>
      </c>
      <c r="H12" s="11" t="n"/>
      <c r="I12" s="12" t="n"/>
      <c r="J12" s="11" t="n"/>
      <c r="K12" s="11" t="n"/>
      <c r="L12" s="11" t="n"/>
    </row>
    <row r="13">
      <c r="A13" s="10" t="inlineStr">
        <is>
          <t>Transverse</t>
        </is>
      </c>
      <c r="B13" s="10" t="inlineStr">
        <is>
          <t>TR-12</t>
        </is>
      </c>
      <c r="C13" s="10" t="inlineStr">
        <is>
          <t>Tous</t>
        </is>
      </c>
      <c r="D13" s="10" t="inlineStr">
        <is>
          <t>Horodatage</t>
        </is>
      </c>
      <c r="E13" s="10" t="inlineStr">
        <is>
          <t>Faire une action en notant l'heure réelle</t>
        </is>
      </c>
      <c r="F13" s="10" t="inlineStr">
        <is>
          <t>Consulter la liste, la chronologie et le journal d'audit correspondants</t>
        </is>
      </c>
      <c r="G13" s="10" t="inlineStr">
        <is>
          <t>Date ET heure au format JJ/MM/AAAA HH:mm, heure d'Abidjan, égale à l'heure réelle (± 1 min) ; journal d'audit à la seconde</t>
        </is>
      </c>
      <c r="H13" s="11" t="n"/>
      <c r="I13" s="12" t="n"/>
      <c r="J13" s="11" t="n"/>
      <c r="K13" s="11" t="n"/>
      <c r="L13" s="11" t="n"/>
    </row>
    <row r="14">
      <c r="A14" s="10" t="inlineStr">
        <is>
          <t>Transverse</t>
        </is>
      </c>
      <c r="B14" s="10" t="inlineStr">
        <is>
          <t>TR-13</t>
        </is>
      </c>
      <c r="C14" s="10" t="inlineStr">
        <is>
          <t>Tous</t>
        </is>
      </c>
      <c r="D14" s="10" t="inlineStr">
        <is>
          <t>Aperçu des pièces jointes</t>
        </is>
      </c>
      <c r="E14" s="10" t="inlineStr">
        <is>
          <t>Ticket avec un PDF, une image et un fichier Excel</t>
        </is>
      </c>
      <c r="F14" s="10" t="inlineStr">
        <is>
          <t>Cliquer « 👁 Ouvrir » sur chaque pièce ; fermer par Échap puis par clic hors de la fenêtre ; télécharger depuis l'aperçu</t>
        </is>
      </c>
      <c r="G14" s="10" t="inlineStr">
        <is>
          <t>PDF et image lisibles dans l'application ; autre format : invitation à télécharger ; fermeture propre</t>
        </is>
      </c>
      <c r="H14" s="11" t="n"/>
      <c r="I14" s="12" t="n"/>
      <c r="J14" s="11" t="n"/>
      <c r="K14" s="11" t="n"/>
      <c r="L14" s="11" t="n"/>
    </row>
    <row r="15">
      <c r="A15" s="10" t="inlineStr">
        <is>
          <t>Transverse</t>
        </is>
      </c>
      <c r="B15" s="10" t="inlineStr">
        <is>
          <t>TR-14</t>
        </is>
      </c>
      <c r="C15" s="10" t="inlineStr">
        <is>
          <t>Tous</t>
        </is>
      </c>
      <c r="D15" s="10" t="inlineStr">
        <is>
          <t>Notifications</t>
        </is>
      </c>
      <c r="E15" s="10" t="inlineStr">
        <is>
          <t>Action qui génère une notification</t>
        </is>
      </c>
      <c r="F15" s="10" t="inlineStr">
        <is>
          <t>Cloche en haut à droite ; /notifications ; /notifications/preferences</t>
        </is>
      </c>
      <c r="G15" s="10" t="inlineStr">
        <is>
          <t>Notification reçue et marquable comme lue ; préférences respectées ; e-mail reçu si activé</t>
        </is>
      </c>
      <c r="H15" s="11" t="n"/>
      <c r="I15" s="12" t="n"/>
      <c r="J15" s="11" t="n"/>
      <c r="K15" s="11" t="n"/>
      <c r="L15" s="11" t="n"/>
    </row>
    <row r="16">
      <c r="A16" s="10" t="inlineStr">
        <is>
          <t>Transverse</t>
        </is>
      </c>
      <c r="B16" s="10" t="inlineStr">
        <is>
          <t>TR-15</t>
        </is>
      </c>
      <c r="C16" s="10" t="inlineStr">
        <is>
          <t>Tous</t>
        </is>
      </c>
      <c r="D16" s="10" t="inlineStr">
        <is>
          <t>Affichage mobile</t>
        </is>
      </c>
      <c r="E16" s="10" t="inlineStr">
        <is>
          <t>Téléphone ou mode mobile du navigateur (375 px)</t>
        </is>
      </c>
      <c r="F16" s="10" t="inlineStr">
        <is>
          <t>Parcourir un tableau de bord, une liste et une fiche</t>
        </is>
      </c>
      <c r="G16" s="10" t="inlineStr">
        <is>
          <t>Menu repliable ; pas de défilement horizontal de la page ; boutons utilisables</t>
        </is>
      </c>
      <c r="H16" s="11" t="n"/>
      <c r="I16" s="12" t="n"/>
      <c r="J16" s="11" t="n"/>
      <c r="K16" s="11" t="n"/>
      <c r="L16" s="11" t="n"/>
    </row>
    <row r="17">
      <c r="A17" s="10" t="inlineStr">
        <is>
          <t>Transverse</t>
        </is>
      </c>
      <c r="B17" s="10" t="inlineStr">
        <is>
          <t>TR-16</t>
        </is>
      </c>
      <c r="C17" s="10" t="inlineStr">
        <is>
          <t>Tous</t>
        </is>
      </c>
      <c r="D17" s="10" t="inlineStr">
        <is>
          <t>Assistant conversationnel</t>
        </is>
      </c>
      <c r="E17" s="10" t="inlineStr">
        <is>
          <t>—</t>
        </is>
      </c>
      <c r="F17" s="10" t="inlineStr">
        <is>
          <t>/assistant : poser « comment suivre mon dossier ? » puis une question hors sujet</t>
        </is>
      </c>
      <c r="G17" s="10" t="inlineStr">
        <is>
          <t>Réponse pertinente ; orientation vers un ticket si hors sujet</t>
        </is>
      </c>
      <c r="H17" s="11" t="n"/>
      <c r="I17" s="12" t="n"/>
      <c r="J17" s="11" t="n"/>
      <c r="K17" s="11" t="n"/>
      <c r="L17" s="11" t="n"/>
    </row>
    <row r="18">
      <c r="A18" s="10" t="inlineStr">
        <is>
          <t>Transverse</t>
        </is>
      </c>
      <c r="B18" s="10" t="inlineStr">
        <is>
          <t>TR-17</t>
        </is>
      </c>
      <c r="C18" s="10" t="inlineStr">
        <is>
          <t>Tous</t>
        </is>
      </c>
      <c r="D18" s="10" t="inlineStr">
        <is>
          <t>Session expirée</t>
        </is>
      </c>
      <c r="E18" s="10" t="inlineStr">
        <is>
          <t>Connecté</t>
        </is>
      </c>
      <c r="F18" s="10" t="inlineStr">
        <is>
          <t>Laisser la session inactive au-delà du délai, puis cliquer une action</t>
        </is>
      </c>
      <c r="G18" s="10" t="inlineStr">
        <is>
          <t>Retour à la connexion ; aucune erreur technique brute affichée</t>
        </is>
      </c>
      <c r="H18" s="11" t="n"/>
      <c r="I18" s="12" t="n"/>
      <c r="J18" s="11" t="n"/>
      <c r="K18" s="11" t="n"/>
      <c r="L18" s="11" t="n"/>
    </row>
    <row r="19">
      <c r="A19" s="10" t="inlineStr">
        <is>
          <t>Transverse</t>
        </is>
      </c>
      <c r="B19" s="10" t="inlineStr">
        <is>
          <t>TR-18</t>
        </is>
      </c>
      <c r="C19" s="10" t="inlineStr">
        <is>
          <t>Tous</t>
        </is>
      </c>
      <c r="D19" s="10" t="inlineStr">
        <is>
          <t>Navigation par rail d'icônes</t>
        </is>
      </c>
      <c r="E19" s="10" t="inlineStr">
        <is>
          <t>Connecté, écran ≥ 992 px</t>
        </is>
      </c>
      <c r="F19" s="10" t="inlineStr">
        <is>
          <t>Survoler chaque icône du rail ; parcourir le rail au clavier (Tab) ; ouvrir une page</t>
        </is>
      </c>
      <c r="G19" s="10" t="inlineStr">
        <is>
          <t>Un panneau de liens s'ouvre au survol ET au clavier ; le groupe de la page active est en pastille blanche ; le rail couvre toute la hauteur</t>
        </is>
      </c>
      <c r="H19" s="11" t="n"/>
      <c r="I19" s="12" t="n"/>
      <c r="J19" s="11" t="n"/>
      <c r="K19" s="11" t="n"/>
      <c r="L19" s="11" t="n"/>
    </row>
    <row r="20">
      <c r="A20" s="10" t="inlineStr">
        <is>
          <t>Transverse</t>
        </is>
      </c>
      <c r="B20" s="10" t="inlineStr">
        <is>
          <t>TR-19</t>
        </is>
      </c>
      <c r="C20" s="10" t="inlineStr">
        <is>
          <t>Tous</t>
        </is>
      </c>
      <c r="D20" s="10" t="inlineStr">
        <is>
          <t>Recherche d'écran (Ctrl+K)</t>
        </is>
      </c>
      <c r="E20" s="10" t="inlineStr">
        <is>
          <t>Connecté</t>
        </is>
      </c>
      <c r="F20" s="10" t="inlineStr">
        <is>
          <t>Ctrl+K ; taper le début d'un libellé de menu ; choisir un écran</t>
        </is>
      </c>
      <c r="G20" s="10" t="inlineStr">
        <is>
          <t>Seuls les écrans du menu du compte sont proposés ; le choix ouvre l'écran</t>
        </is>
      </c>
      <c r="H20" s="11" t="n"/>
      <c r="I20" s="12" t="n"/>
      <c r="J20" s="11" t="n"/>
      <c r="K20" s="11" t="n"/>
      <c r="L20" s="11" t="n"/>
    </row>
    <row r="21">
      <c r="A21" s="10" t="inlineStr">
        <is>
          <t>Transverse</t>
        </is>
      </c>
      <c r="B21" s="10" t="inlineStr">
        <is>
          <t>TR-20</t>
        </is>
      </c>
      <c r="C21" s="10" t="inlineStr">
        <is>
          <t>Tous</t>
        </is>
      </c>
      <c r="D21" s="10" t="inlineStr">
        <is>
          <t>Changement d'espace dans la barre</t>
        </is>
      </c>
      <c r="E21" s="10" t="inlineStr">
        <is>
          <t>Compte à plusieurs espaces (ex. super-admin)</t>
        </is>
      </c>
      <c r="F21" s="10" t="inlineStr">
        <is>
          <t>Cliquer la pastille d'espace en haut à gauche ; choisir un autre espace ; clic hors du menu, puis Échap</t>
        </is>
      </c>
      <c r="G21" s="10" t="inlineStr">
        <is>
          <t>Liste des espaces, l'actif coché ; bascule vers la 1re page accessible du nouvel espace ; le menu se referme au clic extérieur et à Échap. Compte à un seul espace : simple pastille, sans menu</t>
        </is>
      </c>
      <c r="H21" s="11" t="n"/>
      <c r="I21" s="12" t="n"/>
      <c r="J21" s="11" t="n"/>
      <c r="K21" s="11" t="n"/>
      <c r="L21" s="11" t="n"/>
    </row>
    <row r="22">
      <c r="A22" s="10" t="inlineStr">
        <is>
          <t>Transverse</t>
        </is>
      </c>
      <c r="B22" s="10" t="inlineStr">
        <is>
          <t>TR-21</t>
        </is>
      </c>
      <c r="C22" s="10" t="inlineStr">
        <is>
          <t>Tous</t>
        </is>
      </c>
      <c r="D22" s="10" t="inlineStr">
        <is>
          <t>Page d'accueil par rôle</t>
        </is>
      </c>
      <c r="E22" s="10" t="inlineStr">
        <is>
          <t>Un compte par rôle</t>
        </is>
      </c>
      <c r="F22" s="10" t="inlineStr">
        <is>
          <t>Se connecter avec chaque compte (client, transporteur, agent, superviseur, admin, Support N1)</t>
        </is>
      </c>
      <c r="G22" s="10" t="inlineStr">
        <is>
          <t>Chacun arrive sur la 1re entrée accessible de son menu ; jamais sur un écran « Accès refusé » ou en erreur</t>
        </is>
      </c>
      <c r="H22" s="11" t="n"/>
      <c r="I22" s="12" t="n"/>
      <c r="J22" s="11" t="n"/>
      <c r="K22" s="11" t="n"/>
      <c r="L22" s="11" t="n"/>
    </row>
    <row r="23">
      <c r="A23" s="10" t="inlineStr">
        <is>
          <t>Transverse</t>
        </is>
      </c>
      <c r="B23" s="10" t="inlineStr">
        <is>
          <t>TR-22</t>
        </is>
      </c>
      <c r="C23" s="10" t="inlineStr">
        <is>
          <t>Tous</t>
        </is>
      </c>
      <c r="D23" s="10" t="inlineStr">
        <is>
          <t>Saisie du code 2FA</t>
        </is>
      </c>
      <c r="E23" s="10" t="inlineStr">
        <is>
          <t>Compte avec 2FA</t>
        </is>
      </c>
      <c r="F23" s="10" t="inlineStr">
        <is>
          <t>Taper le code chiffre par chiffre ; recommencer en collant le code ; sur téléphone, utiliser la suggestion du clavier</t>
        </is>
      </c>
      <c r="G23" s="10" t="inlineStr">
        <is>
          <t>6 cases, curseur sur la case active ; code complet : les cases forment un anneau qui tourne, puis validation automatique</t>
        </is>
      </c>
      <c r="H23" s="11" t="n"/>
      <c r="I23" s="12" t="n"/>
      <c r="J23" s="11" t="n"/>
      <c r="K23" s="11" t="n"/>
      <c r="L23" s="11" t="n"/>
    </row>
    <row r="24">
      <c r="A24" s="10" t="inlineStr">
        <is>
          <t>Transverse</t>
        </is>
      </c>
      <c r="B24" s="10" t="inlineStr">
        <is>
          <t>TR-23</t>
        </is>
      </c>
      <c r="C24" s="10" t="inlineStr">
        <is>
          <t>Tous</t>
        </is>
      </c>
      <c r="D24" s="10" t="inlineStr">
        <is>
          <t>Thème sombre sur toutes les pages</t>
        </is>
      </c>
      <c r="E24" s="10" t="inlineStr">
        <is>
          <t>Thème Sombre choisi</t>
        </is>
      </c>
      <c r="F24" s="10" t="inlineStr">
        <is>
          <t>Parcourir chaque écran de son profil (listes, fiches, formulaires, modales)</t>
        </is>
      </c>
      <c r="G24" s="10" t="inlineStr">
        <is>
          <t>Aucun texte sombre sur fond sombre, aucun bloc blanc éblouissant ; champs, tableaux et bordures suivent le thème</t>
        </is>
      </c>
      <c r="H24" s="11" t="n"/>
      <c r="I24" s="12" t="n"/>
      <c r="J24" s="11" t="n"/>
      <c r="K24" s="11" t="n"/>
      <c r="L24" s="11" t="n"/>
    </row>
    <row r="25">
      <c r="A25" s="10" t="inlineStr">
        <is>
          <t>Transverse</t>
        </is>
      </c>
      <c r="B25" s="10" t="inlineStr">
        <is>
          <t>TR-24</t>
        </is>
      </c>
      <c r="C25" s="10" t="inlineStr">
        <is>
          <t>Tous</t>
        </is>
      </c>
      <c r="D25" s="10" t="inlineStr">
        <is>
          <t>Lien de mot de passe (validité 2 h)</t>
        </is>
      </c>
      <c r="E25" s="10" t="inlineStr">
        <is>
          <t>Lien « mot de passe oublié » reçu</t>
        </is>
      </c>
      <c r="F25" s="10" t="inlineStr">
        <is>
          <t>Utiliser le lien ; réutiliser le même lien ; utiliser un lien reçu il y a plus de 2 heures</t>
        </is>
      </c>
      <c r="G25" s="10" t="inlineStr">
        <is>
          <t>1er usage : OK. Réutilisation ou lien &gt; 2 h : message clair « lien expiré ou déjà utilisé », jamais « Invalid token »</t>
        </is>
      </c>
      <c r="H25" s="11" t="n"/>
      <c r="I25" s="12" t="n"/>
      <c r="J25" s="11" t="n"/>
      <c r="K25" s="11" t="n"/>
      <c r="L25" s="11" t="n"/>
    </row>
    <row r="26">
      <c r="A26" s="10" t="inlineStr">
        <is>
          <t>Parcours rôle</t>
        </is>
      </c>
      <c r="B26" s="10" t="inlineStr">
        <is>
          <t>R01-01</t>
        </is>
      </c>
      <c r="C26" s="10" t="inlineStr">
        <is>
          <t>R01 Visiteur / prospect</t>
        </is>
      </c>
      <c r="D26" s="10" t="inlineStr">
        <is>
          <t>Demande d'ouverture de compte société</t>
        </is>
      </c>
      <c r="E26" s="10" t="inlineStr"/>
      <c r="F26" s="10" t="inlineStr">
        <is>
          <t>/comptes/soumettre : remplir raison sociale, RCCM, contact ; déposer les pièces exigées</t>
        </is>
      </c>
      <c r="G26" s="10" t="inlineStr">
        <is>
          <t>Accusé de réception ; demande en attente chez l'administrateur (R18)</t>
        </is>
      </c>
      <c r="H26" s="11" t="n"/>
      <c r="I26" s="12" t="n"/>
      <c r="J26" s="11" t="n"/>
      <c r="K26" s="11" t="n"/>
      <c r="L26" s="11" t="n"/>
    </row>
    <row r="27">
      <c r="A27" s="10" t="inlineStr">
        <is>
          <t>Parcours rôle</t>
        </is>
      </c>
      <c r="B27" s="10" t="inlineStr">
        <is>
          <t>R01-02</t>
        </is>
      </c>
      <c r="C27" s="10" t="inlineStr">
        <is>
          <t>R01 Visiteur / prospect</t>
        </is>
      </c>
      <c r="D27" s="10" t="inlineStr">
        <is>
          <t>Pièce obligatoire manquante</t>
        </is>
      </c>
      <c r="E27" s="10" t="inlineStr"/>
      <c r="F27" s="10" t="inlineStr">
        <is>
          <t>Soumettre sans une pièce exigée</t>
        </is>
      </c>
      <c r="G27" s="10" t="inlineStr">
        <is>
          <t>Blocage avec un message qui nomme la pièce manquante</t>
        </is>
      </c>
      <c r="H27" s="11" t="n"/>
      <c r="I27" s="12" t="n"/>
      <c r="J27" s="11" t="n"/>
      <c r="K27" s="11" t="n"/>
      <c r="L27" s="11" t="n"/>
    </row>
    <row r="28">
      <c r="A28" s="10" t="inlineStr">
        <is>
          <t>Parcours rôle</t>
        </is>
      </c>
      <c r="B28" s="10" t="inlineStr">
        <is>
          <t>R01-03</t>
        </is>
      </c>
      <c r="C28" s="10" t="inlineStr">
        <is>
          <t>R01 Visiteur / prospect</t>
        </is>
      </c>
      <c r="D28" s="10" t="inlineStr">
        <is>
          <t>Inscription transporteur</t>
        </is>
      </c>
      <c r="E28" s="10" t="inlineStr"/>
      <c r="F28" s="10" t="inlineStr">
        <is>
          <t>/comptes/inscription-transporteur</t>
        </is>
      </c>
      <c r="G28" s="10" t="inlineStr">
        <is>
          <t>Demande enregistrée ; e-mail de confirmation</t>
        </is>
      </c>
      <c r="H28" s="11" t="n"/>
      <c r="I28" s="12" t="n"/>
      <c r="J28" s="11" t="n"/>
      <c r="K28" s="11" t="n"/>
      <c r="L28" s="11" t="n"/>
    </row>
    <row r="29">
      <c r="A29" s="10" t="inlineStr">
        <is>
          <t>Parcours rôle</t>
        </is>
      </c>
      <c r="B29" s="10" t="inlineStr">
        <is>
          <t>R01-04</t>
        </is>
      </c>
      <c r="C29" s="10" t="inlineStr">
        <is>
          <t>R01 Visiteur / prospect</t>
        </is>
      </c>
      <c r="D29" s="10" t="inlineStr">
        <is>
          <t>Invitation collaborateur</t>
        </is>
      </c>
      <c r="E29" s="10" t="inlineStr"/>
      <c r="F29" s="10" t="inlineStr">
        <is>
          <t>Ouvrir le lien /comptes/invitation/… reçu par e-mail ; définir le mot de passe ; configurer la 2FA</t>
        </is>
      </c>
      <c r="G29" s="10" t="inlineStr">
        <is>
          <t>Compte actif rattaché à la bonne société ; lien réutilisé refusé</t>
        </is>
      </c>
      <c r="H29" s="11" t="n"/>
      <c r="I29" s="12" t="n"/>
      <c r="J29" s="11" t="n"/>
      <c r="K29" s="11" t="n"/>
      <c r="L29" s="11" t="n"/>
    </row>
    <row r="30">
      <c r="A30" s="10" t="inlineStr">
        <is>
          <t>Parcours rôle</t>
        </is>
      </c>
      <c r="B30" s="10" t="inlineStr">
        <is>
          <t>R01-05</t>
        </is>
      </c>
      <c r="C30" s="10" t="inlineStr">
        <is>
          <t>R01 Visiteur / prospect</t>
        </is>
      </c>
      <c r="D30" s="10" t="inlineStr">
        <is>
          <t>Demande de compte : identité structurée</t>
        </is>
      </c>
      <c r="E30" s="10" t="inlineStr"/>
      <c r="F30" s="10" t="inlineStr">
        <is>
          <t>/comptes/soumettre : renseigner Raison sociale et N° RCCM (ex. « ci abj 2024 b 12345 »)</t>
        </is>
      </c>
      <c r="G30" s="10" t="inlineStr">
        <is>
          <t>Demande acceptée ; RCCM normalisé en CI-ABJ-2024-B-12345</t>
        </is>
      </c>
      <c r="H30" s="11" t="n"/>
      <c r="I30" s="12" t="n"/>
      <c r="J30" s="11" t="n"/>
      <c r="K30" s="11" t="n"/>
      <c r="L30" s="11" t="n"/>
    </row>
    <row r="31">
      <c r="A31" s="10" t="inlineStr">
        <is>
          <t>Parcours rôle</t>
        </is>
      </c>
      <c r="B31" s="10" t="inlineStr">
        <is>
          <t>R01-06</t>
        </is>
      </c>
      <c r="C31" s="10" t="inlineStr">
        <is>
          <t>R01 Visiteur / prospect</t>
        </is>
      </c>
      <c r="D31" s="10" t="inlineStr">
        <is>
          <t>RCCM invalide ou déjà utilisé</t>
        </is>
      </c>
      <c r="E31" s="10" t="inlineStr"/>
      <c r="F31" s="10" t="inlineStr">
        <is>
          <t>Soumettre avec un RCCM mal formé, puis avec le RCCM d'une société existante</t>
        </is>
      </c>
      <c r="G31" s="10" t="inlineStr">
        <is>
          <t>Refus avec message clair ; aucun compte utilisateur orphelin créé (l'e-mail reste réutilisable)</t>
        </is>
      </c>
      <c r="H31" s="11" t="n"/>
      <c r="I31" s="12" t="n"/>
      <c r="J31" s="11" t="n"/>
      <c r="K31" s="11" t="n"/>
      <c r="L31" s="11" t="n"/>
    </row>
    <row r="32">
      <c r="A32" s="10" t="inlineStr">
        <is>
          <t>Parcours rôle</t>
        </is>
      </c>
      <c r="B32" s="10" t="inlineStr">
        <is>
          <t>R01-07</t>
        </is>
      </c>
      <c r="C32" s="10" t="inlineStr">
        <is>
          <t>R01 Visiteur / prospect</t>
        </is>
      </c>
      <c r="D32" s="10" t="inlineStr">
        <is>
          <t>Menu et accès interdit</t>
        </is>
      </c>
      <c r="E32" s="10" t="inlineStr"/>
      <c r="F32" s="10" t="inlineStr">
        <is>
          <t>Vérifier le menu ; saisir l'URL d'un écran d'un autre profil</t>
        </is>
      </c>
      <c r="G32" s="10" t="inlineStr">
        <is>
          <t>Menu limité au profil ; écran étranger refusé</t>
        </is>
      </c>
      <c r="H32" s="11" t="n"/>
      <c r="I32" s="12" t="n"/>
      <c r="J32" s="11" t="n"/>
      <c r="K32" s="11" t="n"/>
      <c r="L32" s="11" t="n"/>
    </row>
    <row r="33">
      <c r="A33" s="10" t="inlineStr">
        <is>
          <t>Parcours rôle</t>
        </is>
      </c>
      <c r="B33" s="10" t="inlineStr">
        <is>
          <t>R02-01</t>
        </is>
      </c>
      <c r="C33" s="10" t="inlineStr">
        <is>
          <t>R02 Client — utilisateur société</t>
        </is>
      </c>
      <c r="D33" s="10" t="inlineStr">
        <is>
          <t>Tableau de bord</t>
        </is>
      </c>
      <c r="E33" s="10" t="inlineStr"/>
      <c r="F33" s="10" t="inlineStr">
        <is>
          <t>/client/dashboard</t>
        </is>
      </c>
      <c r="G33" s="10" t="inlineStr">
        <is>
          <t>Indicateurs limités à la société de l'utilisateur</t>
        </is>
      </c>
      <c r="H33" s="11" t="n"/>
      <c r="I33" s="12" t="n"/>
      <c r="J33" s="11" t="n"/>
      <c r="K33" s="11" t="n"/>
      <c r="L33" s="11" t="n"/>
    </row>
    <row r="34">
      <c r="A34" s="10" t="inlineStr">
        <is>
          <t>Parcours rôle</t>
        </is>
      </c>
      <c r="B34" s="10" t="inlineStr">
        <is>
          <t>R02-02</t>
        </is>
      </c>
      <c r="C34" s="10" t="inlineStr">
        <is>
          <t>R02 Client — utilisateur société</t>
        </is>
      </c>
      <c r="D34" s="10" t="inlineStr">
        <is>
          <t>Soumettre une demande Import</t>
        </is>
      </c>
      <c r="E34" s="10" t="inlineStr"/>
      <c r="F34" s="10" t="inlineStr">
        <is>
          <t>Créer un dossier Import avec un BL ; déposer les documents</t>
        </is>
      </c>
      <c r="G34" s="10" t="inlineStr">
        <is>
          <t>Numéros de dossier et de ticket attribués ; statut « Soumis » horodaté</t>
        </is>
      </c>
      <c r="H34" s="11" t="n"/>
      <c r="I34" s="12" t="n"/>
      <c r="J34" s="11" t="n"/>
      <c r="K34" s="11" t="n"/>
      <c r="L34" s="11" t="n"/>
    </row>
    <row r="35">
      <c r="A35" s="10" t="inlineStr">
        <is>
          <t>Parcours rôle</t>
        </is>
      </c>
      <c r="B35" s="10" t="inlineStr">
        <is>
          <t>R02-03</t>
        </is>
      </c>
      <c r="C35" s="10" t="inlineStr">
        <is>
          <t>R02 Client — utilisateur société</t>
        </is>
      </c>
      <c r="D35" s="10" t="inlineStr">
        <is>
          <t>Soumettre une demande Export</t>
        </is>
      </c>
      <c r="E35" s="10" t="inlineStr"/>
      <c r="F35" s="10" t="inlineStr">
        <is>
          <t>Créer un dossier Export avec un booking</t>
        </is>
      </c>
      <c r="G35" s="10" t="inlineStr">
        <is>
          <t>Dossier créé et orienté vers le Back Office Export</t>
        </is>
      </c>
      <c r="H35" s="11" t="n"/>
      <c r="I35" s="12" t="n"/>
      <c r="J35" s="11" t="n"/>
      <c r="K35" s="11" t="n"/>
      <c r="L35" s="11" t="n"/>
    </row>
    <row r="36">
      <c r="A36" s="10" t="inlineStr">
        <is>
          <t>Parcours rôle</t>
        </is>
      </c>
      <c r="B36" s="10" t="inlineStr">
        <is>
          <t>R02-04</t>
        </is>
      </c>
      <c r="C36" s="10" t="inlineStr">
        <is>
          <t>R02 Client — utilisateur société</t>
        </is>
      </c>
      <c r="D36" s="10" t="inlineStr">
        <is>
          <t>Suivre ses demandes</t>
        </is>
      </c>
      <c r="E36" s="10" t="inlineStr"/>
      <c r="F36" s="10" t="inlineStr">
        <is>
          <t>/client/demandes : filtrer, paginer, ouvrir un dossier</t>
        </is>
      </c>
      <c r="G36" s="10" t="inlineStr">
        <is>
          <t>Chronologie complète et horodatée ; statut à jour</t>
        </is>
      </c>
      <c r="H36" s="11" t="n"/>
      <c r="I36" s="12" t="n"/>
      <c r="J36" s="11" t="n"/>
      <c r="K36" s="11" t="n"/>
      <c r="L36" s="11" t="n"/>
    </row>
    <row r="37">
      <c r="A37" s="10" t="inlineStr">
        <is>
          <t>Parcours rôle</t>
        </is>
      </c>
      <c r="B37" s="10" t="inlineStr">
        <is>
          <t>R02-05</t>
        </is>
      </c>
      <c r="C37" s="10" t="inlineStr">
        <is>
          <t>R02 Client — utilisateur société</t>
        </is>
      </c>
      <c r="D37" s="10" t="inlineStr">
        <is>
          <t>Répondre à un complément</t>
        </is>
      </c>
      <c r="E37" s="10" t="inlineStr"/>
      <c r="F37" s="10" t="inlineStr">
        <is>
          <t>Ticket « En attente client » : ajouter un message et une pièce</t>
        </is>
      </c>
      <c r="G37" s="10" t="inlineStr">
        <is>
          <t>Le ticket revient chez l'agent ; le SLA reprend</t>
        </is>
      </c>
      <c r="H37" s="11" t="n"/>
      <c r="I37" s="12" t="n"/>
      <c r="J37" s="11" t="n"/>
      <c r="K37" s="11" t="n"/>
      <c r="L37" s="11" t="n"/>
    </row>
    <row r="38">
      <c r="A38" s="10" t="inlineStr">
        <is>
          <t>Parcours rôle</t>
        </is>
      </c>
      <c r="B38" s="10" t="inlineStr">
        <is>
          <t>R02-06</t>
        </is>
      </c>
      <c r="C38" s="10" t="inlineStr">
        <is>
          <t>R02 Client — utilisateur société</t>
        </is>
      </c>
      <c r="D38" s="10" t="inlineStr">
        <is>
          <t>Consulter une pièce</t>
        </is>
      </c>
      <c r="E38" s="10" t="inlineStr"/>
      <c r="F38" s="10" t="inlineStr">
        <is>
          <t>/tickets/{id}/documents : Ouvrir puis Télécharger</t>
        </is>
      </c>
      <c r="G38" s="10" t="inlineStr">
        <is>
          <t>Aperçu et téléchargement OK ; pièce d'une autre société inaccessible</t>
        </is>
      </c>
      <c r="H38" s="11" t="n"/>
      <c r="I38" s="12" t="n"/>
      <c r="J38" s="11" t="n"/>
      <c r="K38" s="11" t="n"/>
      <c r="L38" s="11" t="n"/>
    </row>
    <row r="39">
      <c r="A39" s="10" t="inlineStr">
        <is>
          <t>Parcours rôle</t>
        </is>
      </c>
      <c r="B39" s="10" t="inlineStr">
        <is>
          <t>R02-07</t>
        </is>
      </c>
      <c r="C39" s="10" t="inlineStr">
        <is>
          <t>R02 Client — utilisateur société</t>
        </is>
      </c>
      <c r="D39" s="10" t="inlineStr">
        <is>
          <t>Exporter ses demandes</t>
        </is>
      </c>
      <c r="E39" s="10" t="inlineStr"/>
      <c r="F39" s="10" t="inlineStr">
        <is>
          <t>Boutons CSV et Excel</t>
        </is>
      </c>
      <c r="G39" s="10" t="inlineStr">
        <is>
          <t>Fichier conforme, limité à sa société</t>
        </is>
      </c>
      <c r="H39" s="11" t="n"/>
      <c r="I39" s="12" t="n"/>
      <c r="J39" s="11" t="n"/>
      <c r="K39" s="11" t="n"/>
      <c r="L39" s="11" t="n"/>
    </row>
    <row r="40">
      <c r="A40" s="10" t="inlineStr">
        <is>
          <t>Parcours rôle</t>
        </is>
      </c>
      <c r="B40" s="10" t="inlineStr">
        <is>
          <t>R02-08</t>
        </is>
      </c>
      <c r="C40" s="10" t="inlineStr">
        <is>
          <t>R02 Client — utilisateur société</t>
        </is>
      </c>
      <c r="D40" s="10" t="inlineStr">
        <is>
          <t>Simulation proforma</t>
        </is>
      </c>
      <c r="E40" s="10" t="inlineStr"/>
      <c r="F40" s="10" t="inlineStr">
        <is>
          <t>/simulation/proforma : saisir des conteneurs, calculer ; historique ; ouvrir le PDF en aperçu</t>
        </is>
      </c>
      <c r="G40" s="10" t="inlineStr">
        <is>
          <t>Montants conformes à la grille active ; mention légale ; PDF lisible</t>
        </is>
      </c>
      <c r="H40" s="11" t="n"/>
      <c r="I40" s="12" t="n"/>
      <c r="J40" s="11" t="n"/>
      <c r="K40" s="11" t="n"/>
      <c r="L40" s="11" t="n"/>
    </row>
    <row r="41">
      <c r="A41" s="10" t="inlineStr">
        <is>
          <t>Parcours rôle</t>
        </is>
      </c>
      <c r="B41" s="10" t="inlineStr">
        <is>
          <t>R02-09</t>
        </is>
      </c>
      <c r="C41" s="10" t="inlineStr">
        <is>
          <t>R02 Client — utilisateur société</t>
        </is>
      </c>
      <c r="D41" s="10" t="inlineStr">
        <is>
          <t>Réclamation</t>
        </is>
      </c>
      <c r="E41" s="10" t="inlineStr"/>
      <c r="F41" s="10" t="inlineStr">
        <is>
          <t>/reclamations/mes-reclamations : créer une réclamation avec catégorie et pièce</t>
        </is>
      </c>
      <c r="G41" s="10" t="inlineStr">
        <is>
          <t>Réclamation enregistrée et suivie</t>
        </is>
      </c>
      <c r="H41" s="11" t="n"/>
      <c r="I41" s="12" t="n"/>
      <c r="J41" s="11" t="n"/>
      <c r="K41" s="11" t="n"/>
      <c r="L41" s="11" t="n"/>
    </row>
    <row r="42">
      <c r="A42" s="10" t="inlineStr">
        <is>
          <t>Parcours rôle</t>
        </is>
      </c>
      <c r="B42" s="10" t="inlineStr">
        <is>
          <t>R02-10</t>
        </is>
      </c>
      <c r="C42" s="10" t="inlineStr">
        <is>
          <t>R02 Client — utilisateur société</t>
        </is>
      </c>
      <c r="D42" s="10" t="inlineStr">
        <is>
          <t>Avoir / Exonération</t>
        </is>
      </c>
      <c r="E42" s="10" t="inlineStr"/>
      <c r="F42" s="10" t="inlineStr">
        <is>
          <t>/avoir-exoneration/mes-demandes : déposer une demande d'avoir</t>
        </is>
      </c>
      <c r="G42" s="10" t="inlineStr">
        <is>
          <t>Demande suivie jusqu'à la décision</t>
        </is>
      </c>
      <c r="H42" s="11" t="n"/>
      <c r="I42" s="12" t="n"/>
      <c r="J42" s="11" t="n"/>
      <c r="K42" s="11" t="n"/>
      <c r="L42" s="11" t="n"/>
    </row>
    <row r="43">
      <c r="A43" s="10" t="inlineStr">
        <is>
          <t>Parcours rôle</t>
        </is>
      </c>
      <c r="B43" s="10" t="inlineStr">
        <is>
          <t>R02-11</t>
        </is>
      </c>
      <c r="C43" s="10" t="inlineStr">
        <is>
          <t>R02 Client — utilisateur société</t>
        </is>
      </c>
      <c r="D43" s="10" t="inlineStr">
        <is>
          <t>Rendez-vous guichet</t>
        </is>
      </c>
      <c r="E43" s="10" t="inlineStr"/>
      <c r="F43" s="10" t="inlineStr">
        <is>
          <t>/rendez-vous/mes-rendez-vous : réserver, reporter, annuler</t>
        </is>
      </c>
      <c r="G43" s="10" t="inlineStr">
        <is>
          <t>Créneau réservé ; report et annulation tracés</t>
        </is>
      </c>
      <c r="H43" s="11" t="n"/>
      <c r="I43" s="12" t="n"/>
      <c r="J43" s="11" t="n"/>
      <c r="K43" s="11" t="n"/>
      <c r="L43" s="11" t="n"/>
    </row>
    <row r="44">
      <c r="A44" s="10" t="inlineStr">
        <is>
          <t>Parcours rôle</t>
        </is>
      </c>
      <c r="B44" s="10" t="inlineStr">
        <is>
          <t>R02-12</t>
        </is>
      </c>
      <c r="C44" s="10" t="inlineStr">
        <is>
          <t>R02 Client — utilisateur société</t>
        </is>
      </c>
      <c r="D44" s="10" t="inlineStr">
        <is>
          <t>Signaler un incident technique</t>
        </is>
      </c>
      <c r="E44" s="10" t="inlineStr"/>
      <c r="F44" s="10" t="inlineStr">
        <is>
          <t>/support/incidents/signaler puis /support/incidents/mes-incidents</t>
        </is>
      </c>
      <c r="G44" s="10" t="inlineStr">
        <is>
          <t>Incident créé dans la file Support N1</t>
        </is>
      </c>
      <c r="H44" s="11" t="n"/>
      <c r="I44" s="12" t="n"/>
      <c r="J44" s="11" t="n"/>
      <c r="K44" s="11" t="n"/>
      <c r="L44" s="11" t="n"/>
    </row>
    <row r="45">
      <c r="A45" s="10" t="inlineStr">
        <is>
          <t>Parcours rôle</t>
        </is>
      </c>
      <c r="B45" s="10" t="inlineStr">
        <is>
          <t>R02-13</t>
        </is>
      </c>
      <c r="C45" s="10" t="inlineStr">
        <is>
          <t>R02 Client — utilisateur société</t>
        </is>
      </c>
      <c r="D45" s="10" t="inlineStr">
        <is>
          <t>Mes données</t>
        </is>
      </c>
      <c r="E45" s="10" t="inlineStr"/>
      <c r="F45" s="10" t="inlineStr">
        <is>
          <t>/comptes/mon-profil et /comptes/mes-donnees</t>
        </is>
      </c>
      <c r="G45" s="10" t="inlineStr">
        <is>
          <t>Données personnelles consultables ; modification tracée</t>
        </is>
      </c>
      <c r="H45" s="11" t="n"/>
      <c r="I45" s="12" t="n"/>
      <c r="J45" s="11" t="n"/>
      <c r="K45" s="11" t="n"/>
      <c r="L45" s="11" t="n"/>
    </row>
    <row r="46">
      <c r="A46" s="10" t="inlineStr">
        <is>
          <t>Parcours rôle</t>
        </is>
      </c>
      <c r="B46" s="10" t="inlineStr">
        <is>
          <t>R02-14</t>
        </is>
      </c>
      <c r="C46" s="10" t="inlineStr">
        <is>
          <t>R02 Client — utilisateur société</t>
        </is>
      </c>
      <c r="D46" s="10" t="inlineStr">
        <is>
          <t>Menu et accès interdit</t>
        </is>
      </c>
      <c r="E46" s="10" t="inlineStr"/>
      <c r="F46" s="10" t="inlineStr">
        <is>
          <t>Vérifier le menu ; saisir l'URL d'un écran d'un autre profil</t>
        </is>
      </c>
      <c r="G46" s="10" t="inlineStr">
        <is>
          <t>Menu limité au profil ; écran étranger refusé</t>
        </is>
      </c>
      <c r="H46" s="11" t="n"/>
      <c r="I46" s="12" t="n"/>
      <c r="J46" s="11" t="n"/>
      <c r="K46" s="11" t="n"/>
      <c r="L46" s="11" t="n"/>
    </row>
    <row r="47">
      <c r="A47" s="10" t="inlineStr">
        <is>
          <t>Parcours rôle</t>
        </is>
      </c>
      <c r="B47" s="10" t="inlineStr">
        <is>
          <t>R03-01</t>
        </is>
      </c>
      <c r="C47" s="10" t="inlineStr">
        <is>
          <t>R03 Administrateur société</t>
        </is>
      </c>
      <c r="D47" s="10" t="inlineStr">
        <is>
          <t>Tableau de bord société</t>
        </is>
      </c>
      <c r="E47" s="10" t="inlineStr"/>
      <c r="F47" s="10" t="inlineStr">
        <is>
          <t>/societe/dashboard</t>
        </is>
      </c>
      <c r="G47" s="10" t="inlineStr">
        <is>
          <t>Vue consolidée des demandes de la société</t>
        </is>
      </c>
      <c r="H47" s="11" t="n"/>
      <c r="I47" s="12" t="n"/>
      <c r="J47" s="11" t="n"/>
      <c r="K47" s="11" t="n"/>
      <c r="L47" s="11" t="n"/>
    </row>
    <row r="48">
      <c r="A48" s="10" t="inlineStr">
        <is>
          <t>Parcours rôle</t>
        </is>
      </c>
      <c r="B48" s="10" t="inlineStr">
        <is>
          <t>R03-02</t>
        </is>
      </c>
      <c r="C48" s="10" t="inlineStr">
        <is>
          <t>R03 Administrateur société</t>
        </is>
      </c>
      <c r="D48" s="10" t="inlineStr">
        <is>
          <t>Inviter un collaborateur</t>
        </is>
      </c>
      <c r="E48" s="10" t="inlineStr"/>
      <c r="F48" s="10" t="inlineStr">
        <is>
          <t>/societe/collaborateurs : inviter par e-mail</t>
        </is>
      </c>
      <c r="G48" s="10" t="inlineStr">
        <is>
          <t>E-mail d'invitation reçu ; collaborateur en attente</t>
        </is>
      </c>
      <c r="H48" s="11" t="n"/>
      <c r="I48" s="12" t="n"/>
      <c r="J48" s="11" t="n"/>
      <c r="K48" s="11" t="n"/>
      <c r="L48" s="11" t="n"/>
    </row>
    <row r="49">
      <c r="A49" s="10" t="inlineStr">
        <is>
          <t>Parcours rôle</t>
        </is>
      </c>
      <c r="B49" s="10" t="inlineStr">
        <is>
          <t>R03-03</t>
        </is>
      </c>
      <c r="C49" s="10" t="inlineStr">
        <is>
          <t>R03 Administrateur société</t>
        </is>
      </c>
      <c r="D49" s="10" t="inlineStr">
        <is>
          <t>Désactiver un collaborateur</t>
        </is>
      </c>
      <c r="E49" s="10" t="inlineStr"/>
      <c r="F49" s="10" t="inlineStr">
        <is>
          <t>Désactiver, puis tenter une connexion avec ce compte</t>
        </is>
      </c>
      <c r="G49" s="10" t="inlineStr">
        <is>
          <t>Connexion refusée ; historique conservé</t>
        </is>
      </c>
      <c r="H49" s="11" t="n"/>
      <c r="I49" s="12" t="n"/>
      <c r="J49" s="11" t="n"/>
      <c r="K49" s="11" t="n"/>
      <c r="L49" s="11" t="n"/>
    </row>
    <row r="50">
      <c r="A50" s="10" t="inlineStr">
        <is>
          <t>Parcours rôle</t>
        </is>
      </c>
      <c r="B50" s="10" t="inlineStr">
        <is>
          <t>R03-04</t>
        </is>
      </c>
      <c r="C50" s="10" t="inlineStr">
        <is>
          <t>R03 Administrateur société</t>
        </is>
      </c>
      <c r="D50" s="10" t="inlineStr">
        <is>
          <t>Profil société</t>
        </is>
      </c>
      <c r="E50" s="10" t="inlineStr"/>
      <c r="F50" s="10" t="inlineStr">
        <is>
          <t>/comptes/profil</t>
        </is>
      </c>
      <c r="G50" s="10" t="inlineStr">
        <is>
          <t>Informations affichées, date de création avec l'heure</t>
        </is>
      </c>
      <c r="H50" s="11" t="n"/>
      <c r="I50" s="12" t="n"/>
      <c r="J50" s="11" t="n"/>
      <c r="K50" s="11" t="n"/>
      <c r="L50" s="11" t="n"/>
    </row>
    <row r="51">
      <c r="A51" s="10" t="inlineStr">
        <is>
          <t>Parcours rôle</t>
        </is>
      </c>
      <c r="B51" s="10" t="inlineStr">
        <is>
          <t>R03-05</t>
        </is>
      </c>
      <c r="C51" s="10" t="inlineStr">
        <is>
          <t>R03 Administrateur société</t>
        </is>
      </c>
      <c r="D51" s="10" t="inlineStr">
        <is>
          <t>Menu et accès interdit</t>
        </is>
      </c>
      <c r="E51" s="10" t="inlineStr"/>
      <c r="F51" s="10" t="inlineStr">
        <is>
          <t>Vérifier le menu ; saisir l'URL d'un écran d'un autre profil</t>
        </is>
      </c>
      <c r="G51" s="10" t="inlineStr">
        <is>
          <t>Menu limité au profil ; écran étranger refusé</t>
        </is>
      </c>
      <c r="H51" s="11" t="n"/>
      <c r="I51" s="12" t="n"/>
      <c r="J51" s="11" t="n"/>
      <c r="K51" s="11" t="n"/>
      <c r="L51" s="11" t="n"/>
    </row>
    <row r="52">
      <c r="A52" s="10" t="inlineStr">
        <is>
          <t>Parcours rôle</t>
        </is>
      </c>
      <c r="B52" s="10" t="inlineStr">
        <is>
          <t>R04-01</t>
        </is>
      </c>
      <c r="C52" s="10" t="inlineStr">
        <is>
          <t>R04 Transporteur</t>
        </is>
      </c>
      <c r="D52" s="10" t="inlineStr">
        <is>
          <t>Accueil et menu du transporteur</t>
        </is>
      </c>
      <c r="E52" s="10" t="inlineStr"/>
      <c r="F52" s="10" t="inlineStr">
        <is>
          <t>Se connecter avec un compte créé par /comptes/inscription-transporteur ; ouvrir aussi /client/dashboard par l'URL</t>
        </is>
      </c>
      <c r="G52" s="10" t="inlineStr">
        <is>
          <t>Arrivée sur « Mes enrôlements » ; en-tête « Espace Transporteur » ; menu sans Tableau de bord, Mes demandes ni Mes rendez-vous ; /client/dashboard renvoie vers Mes enrôlements</t>
        </is>
      </c>
      <c r="H52" s="11" t="n"/>
      <c r="I52" s="12" t="n"/>
      <c r="J52" s="11" t="n"/>
      <c r="K52" s="11" t="n"/>
      <c r="L52" s="11" t="n"/>
    </row>
    <row r="53">
      <c r="A53" s="10" t="inlineStr">
        <is>
          <t>Parcours rôle</t>
        </is>
      </c>
      <c r="B53" s="10" t="inlineStr">
        <is>
          <t>R04-02</t>
        </is>
      </c>
      <c r="C53" s="10" t="inlineStr">
        <is>
          <t>R04 Transporteur</t>
        </is>
      </c>
      <c r="D53" s="10" t="inlineStr">
        <is>
          <t>Numéro de dossier</t>
        </is>
      </c>
      <c r="E53" s="10" t="inlineStr"/>
      <c r="F53" s="10" t="inlineStr">
        <is>
          <t>Soumettre un enrôlement</t>
        </is>
      </c>
      <c r="G53" s="10" t="inlineStr">
        <is>
          <t>Numéro au format ENR-000123 (pas « ENR-ENR- »)</t>
        </is>
      </c>
      <c r="H53" s="11" t="n"/>
      <c r="I53" s="12" t="n"/>
      <c r="J53" s="11" t="n"/>
      <c r="K53" s="11" t="n"/>
      <c r="L53" s="11" t="n"/>
    </row>
    <row r="54">
      <c r="A54" s="10" t="inlineStr">
        <is>
          <t>Parcours rôle</t>
        </is>
      </c>
      <c r="B54" s="10" t="inlineStr">
        <is>
          <t>R04-03</t>
        </is>
      </c>
      <c r="C54" s="10" t="inlineStr">
        <is>
          <t>R04 Transporteur</t>
        </is>
      </c>
      <c r="D54" s="10" t="inlineStr">
        <is>
          <t>Demande d'enrôlement</t>
        </is>
      </c>
      <c r="E54" s="10" t="inlineStr"/>
      <c r="F54" s="10" t="inlineStr">
        <is>
          <t>/enrolement/societe/soumettre : remplir les champs paramétrés ; déposer les pièces</t>
        </is>
      </c>
      <c r="G54" s="10" t="inlineStr">
        <is>
          <t>Ticket d'enrôlement créé</t>
        </is>
      </c>
      <c r="H54" s="11" t="n"/>
      <c r="I54" s="12" t="n"/>
      <c r="J54" s="11" t="n"/>
      <c r="K54" s="11" t="n"/>
      <c r="L54" s="11" t="n"/>
    </row>
    <row r="55">
      <c r="A55" s="10" t="inlineStr">
        <is>
          <t>Parcours rôle</t>
        </is>
      </c>
      <c r="B55" s="10" t="inlineStr">
        <is>
          <t>R04-04</t>
        </is>
      </c>
      <c r="C55" s="10" t="inlineStr">
        <is>
          <t>R04 Transporteur</t>
        </is>
      </c>
      <c r="D55" s="10" t="inlineStr">
        <is>
          <t>Suivi</t>
        </is>
      </c>
      <c r="E55" s="10" t="inlineStr"/>
      <c r="F55" s="10" t="inlineStr">
        <is>
          <t>/enrolement/mes-enrolements ; fiche de l'enrôlement</t>
        </is>
      </c>
      <c r="G55" s="10" t="inlineStr">
        <is>
          <t>Statuts successifs horodatés ; convocation visible</t>
        </is>
      </c>
      <c r="H55" s="11" t="n"/>
      <c r="I55" s="12" t="n"/>
      <c r="J55" s="11" t="n"/>
      <c r="K55" s="11" t="n"/>
      <c r="L55" s="11" t="n"/>
    </row>
    <row r="56">
      <c r="A56" s="10" t="inlineStr">
        <is>
          <t>Parcours rôle</t>
        </is>
      </c>
      <c r="B56" s="10" t="inlineStr">
        <is>
          <t>R04-05</t>
        </is>
      </c>
      <c r="C56" s="10" t="inlineStr">
        <is>
          <t>R04 Transporteur</t>
        </is>
      </c>
      <c r="D56" s="10" t="inlineStr">
        <is>
          <t>Retrait</t>
        </is>
      </c>
      <c r="E56" s="10" t="inlineStr"/>
      <c r="F56" s="10" t="inlineStr">
        <is>
          <t>/enrolement/societe/retrait</t>
        </is>
      </c>
      <c r="G56" s="10" t="inlineStr">
        <is>
          <t>Demande de retrait enregistrée</t>
        </is>
      </c>
      <c r="H56" s="11" t="n"/>
      <c r="I56" s="12" t="n"/>
      <c r="J56" s="11" t="n"/>
      <c r="K56" s="11" t="n"/>
      <c r="L56" s="11" t="n"/>
    </row>
    <row r="57">
      <c r="A57" s="10" t="inlineStr">
        <is>
          <t>Parcours rôle</t>
        </is>
      </c>
      <c r="B57" s="10" t="inlineStr">
        <is>
          <t>R04-06</t>
        </is>
      </c>
      <c r="C57" s="10" t="inlineStr">
        <is>
          <t>R04 Transporteur</t>
        </is>
      </c>
      <c r="D57" s="10" t="inlineStr">
        <is>
          <t>Menu et accès interdit</t>
        </is>
      </c>
      <c r="E57" s="10" t="inlineStr"/>
      <c r="F57" s="10" t="inlineStr">
        <is>
          <t>Vérifier le menu ; saisir l'URL d'un écran d'un autre profil</t>
        </is>
      </c>
      <c r="G57" s="10" t="inlineStr">
        <is>
          <t>Menu limité au profil ; écran étranger refusé</t>
        </is>
      </c>
      <c r="H57" s="11" t="n"/>
      <c r="I57" s="12" t="n"/>
      <c r="J57" s="11" t="n"/>
      <c r="K57" s="11" t="n"/>
      <c r="L57" s="11" t="n"/>
    </row>
    <row r="58">
      <c r="A58" s="10" t="inlineStr">
        <is>
          <t>Parcours rôle</t>
        </is>
      </c>
      <c r="B58" s="10" t="inlineStr">
        <is>
          <t>R05-01</t>
        </is>
      </c>
      <c r="C58" s="10" t="inlineStr">
        <is>
          <t>R05 Agent Pilote Manifeste (Import)</t>
        </is>
      </c>
      <c r="D58" s="10" t="inlineStr">
        <is>
          <t>File</t>
        </is>
      </c>
      <c r="E58" s="10" t="inlineStr"/>
      <c r="F58" s="10" t="inlineStr">
        <is>
          <t>/billing-import/manifeste : filtrer, paginer</t>
        </is>
      </c>
      <c r="G58" s="10" t="inlineStr">
        <is>
          <t>Uniquement les tickets de l'étape Manifeste</t>
        </is>
      </c>
      <c r="H58" s="11" t="n"/>
      <c r="I58" s="12" t="n"/>
      <c r="J58" s="11" t="n"/>
      <c r="K58" s="11" t="n"/>
      <c r="L58" s="11" t="n"/>
    </row>
    <row r="59">
      <c r="A59" s="10" t="inlineStr">
        <is>
          <t>Parcours rôle</t>
        </is>
      </c>
      <c r="B59" s="10" t="inlineStr">
        <is>
          <t>R05-02</t>
        </is>
      </c>
      <c r="C59" s="10" t="inlineStr">
        <is>
          <t>R05 Agent Pilote Manifeste (Import)</t>
        </is>
      </c>
      <c r="D59" s="10" t="inlineStr">
        <is>
          <t>Prendre en charge</t>
        </is>
      </c>
      <c r="E59" s="10" t="inlineStr"/>
      <c r="F59" s="10" t="inlineStr">
        <is>
          <t>Bouton Prendre en charge</t>
        </is>
      </c>
      <c r="G59" s="10" t="inlineStr">
        <is>
          <t>Ticket affecté à l'agent ; SLA démarré</t>
        </is>
      </c>
      <c r="H59" s="11" t="n"/>
      <c r="I59" s="12" t="n"/>
      <c r="J59" s="11" t="n"/>
      <c r="K59" s="11" t="n"/>
      <c r="L59" s="11" t="n"/>
    </row>
    <row r="60">
      <c r="A60" s="10" t="inlineStr">
        <is>
          <t>Parcours rôle</t>
        </is>
      </c>
      <c r="B60" s="10" t="inlineStr">
        <is>
          <t>R05-03</t>
        </is>
      </c>
      <c r="C60" s="10" t="inlineStr">
        <is>
          <t>R05 Agent Pilote Manifeste (Import)</t>
        </is>
      </c>
      <c r="D60" s="10" t="inlineStr">
        <is>
          <t>Demander un complément</t>
        </is>
      </c>
      <c r="E60" s="10" t="inlineStr"/>
      <c r="F60" s="10" t="inlineStr">
        <is>
          <t>Message au client + statut En attente client</t>
        </is>
      </c>
      <c r="G60" s="10" t="inlineStr">
        <is>
          <t>Client notifié ; SLA suspendu</t>
        </is>
      </c>
      <c r="H60" s="11" t="n"/>
      <c r="I60" s="12" t="n"/>
      <c r="J60" s="11" t="n"/>
      <c r="K60" s="11" t="n"/>
      <c r="L60" s="11" t="n"/>
    </row>
    <row r="61">
      <c r="A61" s="10" t="inlineStr">
        <is>
          <t>Parcours rôle</t>
        </is>
      </c>
      <c r="B61" s="10" t="inlineStr">
        <is>
          <t>R05-04</t>
        </is>
      </c>
      <c r="C61" s="10" t="inlineStr">
        <is>
          <t>R05 Agent Pilote Manifeste (Import)</t>
        </is>
      </c>
      <c r="D61" s="10" t="inlineStr">
        <is>
          <t>Valider l'étape</t>
        </is>
      </c>
      <c r="E61" s="10" t="inlineStr"/>
      <c r="F61" s="10" t="inlineStr">
        <is>
          <t>Valider le manifeste</t>
        </is>
      </c>
      <c r="G61" s="10" t="inlineStr">
        <is>
          <t>Passage au Contrôle documentaire ; historique horodaté</t>
        </is>
      </c>
      <c r="H61" s="11" t="n"/>
      <c r="I61" s="12" t="n"/>
      <c r="J61" s="11" t="n"/>
      <c r="K61" s="11" t="n"/>
      <c r="L61" s="11" t="n"/>
    </row>
    <row r="62">
      <c r="A62" s="10" t="inlineStr">
        <is>
          <t>Parcours rôle</t>
        </is>
      </c>
      <c r="B62" s="10" t="inlineStr">
        <is>
          <t>R05-05</t>
        </is>
      </c>
      <c r="C62" s="10" t="inlineStr">
        <is>
          <t>R05 Agent Pilote Manifeste (Import)</t>
        </is>
      </c>
      <c r="D62" s="10" t="inlineStr">
        <is>
          <t>Note interne</t>
        </is>
      </c>
      <c r="E62" s="10" t="inlineStr"/>
      <c r="F62" s="10" t="inlineStr">
        <is>
          <t>Ajouter une note interne</t>
        </is>
      </c>
      <c r="G62" s="10" t="inlineStr">
        <is>
          <t>Invisible côté client</t>
        </is>
      </c>
      <c r="H62" s="11" t="n"/>
      <c r="I62" s="12" t="n"/>
      <c r="J62" s="11" t="n"/>
      <c r="K62" s="11" t="n"/>
      <c r="L62" s="11" t="n"/>
    </row>
    <row r="63">
      <c r="A63" s="10" t="inlineStr">
        <is>
          <t>Parcours rôle</t>
        </is>
      </c>
      <c r="B63" s="10" t="inlineStr">
        <is>
          <t>R05-06</t>
        </is>
      </c>
      <c r="C63" s="10" t="inlineStr">
        <is>
          <t>R05 Agent Pilote Manifeste (Import)</t>
        </is>
      </c>
      <c r="D63" s="10" t="inlineStr">
        <is>
          <t>Menu et accès interdit</t>
        </is>
      </c>
      <c r="E63" s="10" t="inlineStr"/>
      <c r="F63" s="10" t="inlineStr">
        <is>
          <t>Vérifier le menu ; saisir l'URL d'un écran d'un autre profil</t>
        </is>
      </c>
      <c r="G63" s="10" t="inlineStr">
        <is>
          <t>Menu limité au profil ; écran étranger refusé</t>
        </is>
      </c>
      <c r="H63" s="11" t="n"/>
      <c r="I63" s="12" t="n"/>
      <c r="J63" s="11" t="n"/>
      <c r="K63" s="11" t="n"/>
      <c r="L63" s="11" t="n"/>
    </row>
    <row r="64">
      <c r="A64" s="10" t="inlineStr">
        <is>
          <t>Parcours rôle</t>
        </is>
      </c>
      <c r="B64" s="10" t="inlineStr">
        <is>
          <t>R06-01</t>
        </is>
      </c>
      <c r="C64" s="10" t="inlineStr">
        <is>
          <t>R06 Agent Contrôle documentaire (Import / Export)</t>
        </is>
      </c>
      <c r="D64" s="10" t="inlineStr">
        <is>
          <t>Contrôler les pièces</t>
        </is>
      </c>
      <c r="E64" s="10" t="inlineStr"/>
      <c r="F64" s="10" t="inlineStr">
        <is>
          <t>/billing-import/controle-documentaire ou /billing-export/controle-documentaire : ouvrir chaque pièce en aperçu</t>
        </is>
      </c>
      <c r="G64" s="10" t="inlineStr">
        <is>
          <t>Pièces lisibles sans téléchargement</t>
        </is>
      </c>
      <c r="H64" s="11" t="n"/>
      <c r="I64" s="12" t="n"/>
      <c r="J64" s="11" t="n"/>
      <c r="K64" s="11" t="n"/>
      <c r="L64" s="11" t="n"/>
    </row>
    <row r="65">
      <c r="A65" s="10" t="inlineStr">
        <is>
          <t>Parcours rôle</t>
        </is>
      </c>
      <c r="B65" s="10" t="inlineStr">
        <is>
          <t>R06-02</t>
        </is>
      </c>
      <c r="C65" s="10" t="inlineStr">
        <is>
          <t>R06 Agent Contrôle documentaire (Import / Export)</t>
        </is>
      </c>
      <c r="D65" s="10" t="inlineStr">
        <is>
          <t>Rejet motivé</t>
        </is>
      </c>
      <c r="E65" s="10" t="inlineStr"/>
      <c r="F65" s="10" t="inlineStr">
        <is>
          <t>Rejeter une pièce avec un motif</t>
        </is>
      </c>
      <c r="G65" s="10" t="inlineStr">
        <is>
          <t>Client notifié avec le motif</t>
        </is>
      </c>
      <c r="H65" s="11" t="n"/>
      <c r="I65" s="12" t="n"/>
      <c r="J65" s="11" t="n"/>
      <c r="K65" s="11" t="n"/>
      <c r="L65" s="11" t="n"/>
    </row>
    <row r="66">
      <c r="A66" s="10" t="inlineStr">
        <is>
          <t>Parcours rôle</t>
        </is>
      </c>
      <c r="B66" s="10" t="inlineStr">
        <is>
          <t>R06-03</t>
        </is>
      </c>
      <c r="C66" s="10" t="inlineStr">
        <is>
          <t>R06 Agent Contrôle documentaire (Import / Export)</t>
        </is>
      </c>
      <c r="D66" s="10" t="inlineStr">
        <is>
          <t>Validation</t>
        </is>
      </c>
      <c r="E66" s="10" t="inlineStr"/>
      <c r="F66" s="10" t="inlineStr">
        <is>
          <t>Valider le contrôle</t>
        </is>
      </c>
      <c r="G66" s="10" t="inlineStr">
        <is>
          <t>Passage à la Facturation</t>
        </is>
      </c>
      <c r="H66" s="11" t="n"/>
      <c r="I66" s="12" t="n"/>
      <c r="J66" s="11" t="n"/>
      <c r="K66" s="11" t="n"/>
      <c r="L66" s="11" t="n"/>
    </row>
    <row r="67">
      <c r="A67" s="10" t="inlineStr">
        <is>
          <t>Parcours rôle</t>
        </is>
      </c>
      <c r="B67" s="10" t="inlineStr">
        <is>
          <t>R06-04</t>
        </is>
      </c>
      <c r="C67" s="10" t="inlineStr">
        <is>
          <t>R06 Agent Contrôle documentaire (Import / Export)</t>
        </is>
      </c>
      <c r="D67" s="10" t="inlineStr">
        <is>
          <t>Menu et accès interdit</t>
        </is>
      </c>
      <c r="E67" s="10" t="inlineStr"/>
      <c r="F67" s="10" t="inlineStr">
        <is>
          <t>Vérifier le menu ; saisir l'URL d'un écran d'un autre profil</t>
        </is>
      </c>
      <c r="G67" s="10" t="inlineStr">
        <is>
          <t>Menu limité au profil ; écran étranger refusé</t>
        </is>
      </c>
      <c r="H67" s="11" t="n"/>
      <c r="I67" s="12" t="n"/>
      <c r="J67" s="11" t="n"/>
      <c r="K67" s="11" t="n"/>
      <c r="L67" s="11" t="n"/>
    </row>
    <row r="68">
      <c r="A68" s="10" t="inlineStr">
        <is>
          <t>Parcours rôle</t>
        </is>
      </c>
      <c r="B68" s="10" t="inlineStr">
        <is>
          <t>R07-01</t>
        </is>
      </c>
      <c r="C68" s="10" t="inlineStr">
        <is>
          <t>R07 Agent Facturation (Import / Export)</t>
        </is>
      </c>
      <c r="D68" s="10" t="inlineStr">
        <is>
          <t>Éditer la facture</t>
        </is>
      </c>
      <c r="E68" s="10" t="inlineStr"/>
      <c r="F68" s="10" t="inlineStr">
        <is>
          <t>/billing-import/facturation ou /billing-export/facturation</t>
        </is>
      </c>
      <c r="G68" s="10" t="inlineStr">
        <is>
          <t>Facture émise ; montant conforme à la grille</t>
        </is>
      </c>
      <c r="H68" s="11" t="n"/>
      <c r="I68" s="12" t="n"/>
      <c r="J68" s="11" t="n"/>
      <c r="K68" s="11" t="n"/>
      <c r="L68" s="11" t="n"/>
    </row>
    <row r="69">
      <c r="A69" s="10" t="inlineStr">
        <is>
          <t>Parcours rôle</t>
        </is>
      </c>
      <c r="B69" s="10" t="inlineStr">
        <is>
          <t>R07-02</t>
        </is>
      </c>
      <c r="C69" s="10" t="inlineStr">
        <is>
          <t>R07 Agent Facturation (Import / Export)</t>
        </is>
      </c>
      <c r="D69" s="10" t="inlineStr">
        <is>
          <t>Transmettre au paiement</t>
        </is>
      </c>
      <c r="E69" s="10" t="inlineStr"/>
      <c r="F69" s="10" t="inlineStr">
        <is>
          <t>Valider l'étape</t>
        </is>
      </c>
      <c r="G69" s="10" t="inlineStr">
        <is>
          <t>Ticket en validation du paiement</t>
        </is>
      </c>
      <c r="H69" s="11" t="n"/>
      <c r="I69" s="12" t="n"/>
      <c r="J69" s="11" t="n"/>
      <c r="K69" s="11" t="n"/>
      <c r="L69" s="11" t="n"/>
    </row>
    <row r="70">
      <c r="A70" s="10" t="inlineStr">
        <is>
          <t>Parcours rôle</t>
        </is>
      </c>
      <c r="B70" s="10" t="inlineStr">
        <is>
          <t>R07-03</t>
        </is>
      </c>
      <c r="C70" s="10" t="inlineStr">
        <is>
          <t>R07 Agent Facturation (Import / Export)</t>
        </is>
      </c>
      <c r="D70" s="10" t="inlineStr">
        <is>
          <t>Menu et accès interdit</t>
        </is>
      </c>
      <c r="E70" s="10" t="inlineStr"/>
      <c r="F70" s="10" t="inlineStr">
        <is>
          <t>Vérifier le menu ; saisir l'URL d'un écran d'un autre profil</t>
        </is>
      </c>
      <c r="G70" s="10" t="inlineStr">
        <is>
          <t>Menu limité au profil ; écran étranger refusé</t>
        </is>
      </c>
      <c r="H70" s="11" t="n"/>
      <c r="I70" s="12" t="n"/>
      <c r="J70" s="11" t="n"/>
      <c r="K70" s="11" t="n"/>
      <c r="L70" s="11" t="n"/>
    </row>
    <row r="71">
      <c r="A71" s="10" t="inlineStr">
        <is>
          <t>Parcours rôle</t>
        </is>
      </c>
      <c r="B71" s="10" t="inlineStr">
        <is>
          <t>R08-01</t>
        </is>
      </c>
      <c r="C71" s="10" t="inlineStr">
        <is>
          <t>R08 Agent Validation paiement</t>
        </is>
      </c>
      <c r="D71" s="10" t="inlineStr">
        <is>
          <t>Valider un paiement</t>
        </is>
      </c>
      <c r="E71" s="10" t="inlineStr"/>
      <c r="F71" s="10" t="inlineStr">
        <is>
          <t>/billing-import/validation-paiement ou /billing-export/validation-paiement : contrôler la preuve de paiement</t>
        </is>
      </c>
      <c r="G71" s="10" t="inlineStr">
        <is>
          <t>Paiement validé ; passage en comptabilité</t>
        </is>
      </c>
      <c r="H71" s="11" t="n"/>
      <c r="I71" s="12" t="n"/>
      <c r="J71" s="11" t="n"/>
      <c r="K71" s="11" t="n"/>
      <c r="L71" s="11" t="n"/>
    </row>
    <row r="72">
      <c r="A72" s="10" t="inlineStr">
        <is>
          <t>Parcours rôle</t>
        </is>
      </c>
      <c r="B72" s="10" t="inlineStr">
        <is>
          <t>R08-02</t>
        </is>
      </c>
      <c r="C72" s="10" t="inlineStr">
        <is>
          <t>R08 Agent Validation paiement</t>
        </is>
      </c>
      <c r="D72" s="10" t="inlineStr">
        <is>
          <t>Refuser un paiement</t>
        </is>
      </c>
      <c r="E72" s="10" t="inlineStr"/>
      <c r="F72" s="10" t="inlineStr">
        <is>
          <t>Refuser avec un motif</t>
        </is>
      </c>
      <c r="G72" s="10" t="inlineStr">
        <is>
          <t>Client notifié ; ticket bloqué à l'étape paiement</t>
        </is>
      </c>
      <c r="H72" s="11" t="n"/>
      <c r="I72" s="12" t="n"/>
      <c r="J72" s="11" t="n"/>
      <c r="K72" s="11" t="n"/>
      <c r="L72" s="11" t="n"/>
    </row>
    <row r="73">
      <c r="A73" s="10" t="inlineStr">
        <is>
          <t>Parcours rôle</t>
        </is>
      </c>
      <c r="B73" s="10" t="inlineStr">
        <is>
          <t>R08-03</t>
        </is>
      </c>
      <c r="C73" s="10" t="inlineStr">
        <is>
          <t>R08 Agent Validation paiement</t>
        </is>
      </c>
      <c r="D73" s="10" t="inlineStr">
        <is>
          <t>Menu et accès interdit</t>
        </is>
      </c>
      <c r="E73" s="10" t="inlineStr"/>
      <c r="F73" s="10" t="inlineStr">
        <is>
          <t>Vérifier le menu ; saisir l'URL d'un écran d'un autre profil</t>
        </is>
      </c>
      <c r="G73" s="10" t="inlineStr">
        <is>
          <t>Menu limité au profil ; écran étranger refusé</t>
        </is>
      </c>
      <c r="H73" s="11" t="n"/>
      <c r="I73" s="12" t="n"/>
      <c r="J73" s="11" t="n"/>
      <c r="K73" s="11" t="n"/>
      <c r="L73" s="11" t="n"/>
    </row>
    <row r="74">
      <c r="A74" s="10" t="inlineStr">
        <is>
          <t>Parcours rôle</t>
        </is>
      </c>
      <c r="B74" s="10" t="inlineStr">
        <is>
          <t>R09-01</t>
        </is>
      </c>
      <c r="C74" s="10" t="inlineStr">
        <is>
          <t>R09 Comptabilité (lettrage)</t>
        </is>
      </c>
      <c r="D74" s="10" t="inlineStr">
        <is>
          <t>Confirmer le lettrage</t>
        </is>
      </c>
      <c r="E74" s="10" t="inlineStr"/>
      <c r="F74" s="10" t="inlineStr">
        <is>
          <t>/billing-import/comptabilite-client ou /billing-export/comptabilite</t>
        </is>
      </c>
      <c r="G74" s="10" t="inlineStr">
        <is>
          <t>Lettrage confirmé ; dossier clôturé</t>
        </is>
      </c>
      <c r="H74" s="11" t="n"/>
      <c r="I74" s="12" t="n"/>
      <c r="J74" s="11" t="n"/>
      <c r="K74" s="11" t="n"/>
      <c r="L74" s="11" t="n"/>
    </row>
    <row r="75">
      <c r="A75" s="10" t="inlineStr">
        <is>
          <t>Parcours rôle</t>
        </is>
      </c>
      <c r="B75" s="10" t="inlineStr">
        <is>
          <t>R09-02</t>
        </is>
      </c>
      <c r="C75" s="10" t="inlineStr">
        <is>
          <t>R09 Comptabilité (lettrage)</t>
        </is>
      </c>
      <c r="D75" s="10" t="inlineStr">
        <is>
          <t>Consulter un ticket clôturé</t>
        </is>
      </c>
      <c r="E75" s="10" t="inlineStr"/>
      <c r="F75" s="10" t="inlineStr">
        <is>
          <t>/billing-import/ticket-cloture</t>
        </is>
      </c>
      <c r="G75" s="10" t="inlineStr">
        <is>
          <t>Ticket en lecture seule</t>
        </is>
      </c>
      <c r="H75" s="11" t="n"/>
      <c r="I75" s="12" t="n"/>
      <c r="J75" s="11" t="n"/>
      <c r="K75" s="11" t="n"/>
      <c r="L75" s="11" t="n"/>
    </row>
    <row r="76">
      <c r="A76" s="10" t="inlineStr">
        <is>
          <t>Parcours rôle</t>
        </is>
      </c>
      <c r="B76" s="10" t="inlineStr">
        <is>
          <t>R09-03</t>
        </is>
      </c>
      <c r="C76" s="10" t="inlineStr">
        <is>
          <t>R09 Comptabilité (lettrage)</t>
        </is>
      </c>
      <c r="D76" s="10" t="inlineStr">
        <is>
          <t>Menu et accès interdit</t>
        </is>
      </c>
      <c r="E76" s="10" t="inlineStr"/>
      <c r="F76" s="10" t="inlineStr">
        <is>
          <t>Vérifier le menu ; saisir l'URL d'un écran d'un autre profil</t>
        </is>
      </c>
      <c r="G76" s="10" t="inlineStr">
        <is>
          <t>Menu limité au profil ; écran étranger refusé</t>
        </is>
      </c>
      <c r="H76" s="11" t="n"/>
      <c r="I76" s="12" t="n"/>
      <c r="J76" s="11" t="n"/>
      <c r="K76" s="11" t="n"/>
      <c r="L76" s="11" t="n"/>
    </row>
    <row r="77">
      <c r="A77" s="10" t="inlineStr">
        <is>
          <t>Parcours rôle</t>
        </is>
      </c>
      <c r="B77" s="10" t="inlineStr">
        <is>
          <t>R10-01</t>
        </is>
      </c>
      <c r="C77" s="10" t="inlineStr">
        <is>
          <t>R10 Agent IES (Import / Export)</t>
        </is>
      </c>
      <c r="D77" s="10" t="inlineStr">
        <is>
          <t>Traitement IES Import</t>
        </is>
      </c>
      <c r="E77" s="10" t="inlineStr"/>
      <c r="F77" s="10" t="inlineStr">
        <is>
          <t>/billing-import/ies : instruire manifeste et contrôle documentaire IES</t>
        </is>
      </c>
      <c r="G77" s="10" t="inlineStr">
        <is>
          <t>Étapes IES validées et tracées</t>
        </is>
      </c>
      <c r="H77" s="11" t="n"/>
      <c r="I77" s="12" t="n"/>
      <c r="J77" s="11" t="n"/>
      <c r="K77" s="11" t="n"/>
      <c r="L77" s="11" t="n"/>
    </row>
    <row r="78">
      <c r="A78" s="10" t="inlineStr">
        <is>
          <t>Parcours rôle</t>
        </is>
      </c>
      <c r="B78" s="10" t="inlineStr">
        <is>
          <t>R10-02</t>
        </is>
      </c>
      <c r="C78" s="10" t="inlineStr">
        <is>
          <t>R10 Agent IES (Import / Export)</t>
        </is>
      </c>
      <c r="D78" s="10" t="inlineStr">
        <is>
          <t>Traitement IES Export</t>
        </is>
      </c>
      <c r="E78" s="10" t="inlineStr"/>
      <c r="F78" s="10" t="inlineStr">
        <is>
          <t>/billing-export/ies</t>
        </is>
      </c>
      <c r="G78" s="10" t="inlineStr">
        <is>
          <t>Idem côté Export</t>
        </is>
      </c>
      <c r="H78" s="11" t="n"/>
      <c r="I78" s="12" t="n"/>
      <c r="J78" s="11" t="n"/>
      <c r="K78" s="11" t="n"/>
      <c r="L78" s="11" t="n"/>
    </row>
    <row r="79">
      <c r="A79" s="10" t="inlineStr">
        <is>
          <t>Parcours rôle</t>
        </is>
      </c>
      <c r="B79" s="10" t="inlineStr">
        <is>
          <t>R10-03</t>
        </is>
      </c>
      <c r="C79" s="10" t="inlineStr">
        <is>
          <t>R10 Agent IES (Import / Export)</t>
        </is>
      </c>
      <c r="D79" s="10" t="inlineStr">
        <is>
          <t>Menu et accès interdit</t>
        </is>
      </c>
      <c r="E79" s="10" t="inlineStr"/>
      <c r="F79" s="10" t="inlineStr">
        <is>
          <t>Vérifier le menu ; saisir l'URL d'un écran d'un autre profil</t>
        </is>
      </c>
      <c r="G79" s="10" t="inlineStr">
        <is>
          <t>Menu limité au profil ; écran étranger refusé</t>
        </is>
      </c>
      <c r="H79" s="11" t="n"/>
      <c r="I79" s="12" t="n"/>
      <c r="J79" s="11" t="n"/>
      <c r="K79" s="11" t="n"/>
      <c r="L79" s="11" t="n"/>
    </row>
    <row r="80">
      <c r="A80" s="10" t="inlineStr">
        <is>
          <t>Parcours rôle</t>
        </is>
      </c>
      <c r="B80" s="10" t="inlineStr">
        <is>
          <t>R11-01</t>
        </is>
      </c>
      <c r="C80" s="10" t="inlineStr">
        <is>
          <t>R11 Agent Back Office Export</t>
        </is>
      </c>
      <c r="D80" s="10" t="inlineStr">
        <is>
          <t>Instruire un dossier Export</t>
        </is>
      </c>
      <c r="E80" s="10" t="inlineStr"/>
      <c r="F80" s="10" t="inlineStr">
        <is>
          <t>/billing-export/back-office : prendre en charge, compléter, valider</t>
        </is>
      </c>
      <c r="G80" s="10" t="inlineStr">
        <is>
          <t>Passage au Contrôle documentaire Export</t>
        </is>
      </c>
      <c r="H80" s="11" t="n"/>
      <c r="I80" s="12" t="n"/>
      <c r="J80" s="11" t="n"/>
      <c r="K80" s="11" t="n"/>
      <c r="L80" s="11" t="n"/>
    </row>
    <row r="81">
      <c r="A81" s="10" t="inlineStr">
        <is>
          <t>Parcours rôle</t>
        </is>
      </c>
      <c r="B81" s="10" t="inlineStr">
        <is>
          <t>R11-02</t>
        </is>
      </c>
      <c r="C81" s="10" t="inlineStr">
        <is>
          <t>R11 Agent Back Office Export</t>
        </is>
      </c>
      <c r="D81" s="10" t="inlineStr">
        <is>
          <t>Menu et accès interdit</t>
        </is>
      </c>
      <c r="E81" s="10" t="inlineStr"/>
      <c r="F81" s="10" t="inlineStr">
        <is>
          <t>Vérifier le menu ; saisir l'URL d'un écran d'un autre profil</t>
        </is>
      </c>
      <c r="G81" s="10" t="inlineStr">
        <is>
          <t>Menu limité au profil ; écran étranger refusé</t>
        </is>
      </c>
      <c r="H81" s="11" t="n"/>
      <c r="I81" s="12" t="n"/>
      <c r="J81" s="11" t="n"/>
      <c r="K81" s="11" t="n"/>
      <c r="L81" s="11" t="n"/>
    </row>
    <row r="82">
      <c r="A82" s="10" t="inlineStr">
        <is>
          <t>Parcours rôle</t>
        </is>
      </c>
      <c r="B82" s="10" t="inlineStr">
        <is>
          <t>R12-01</t>
        </is>
      </c>
      <c r="C82" s="10" t="inlineStr">
        <is>
          <t>R12 Agent Guichet (Billing Office)</t>
        </is>
      </c>
      <c r="D82" s="10" t="inlineStr">
        <is>
          <t>Recherche rapide</t>
        </is>
      </c>
      <c r="E82" s="10" t="inlineStr"/>
      <c r="F82" s="10" t="inlineStr">
        <is>
          <t>/guichet/recherche : par n° de BL, de ticket ou société</t>
        </is>
      </c>
      <c r="G82" s="10" t="inlineStr">
        <is>
          <t>Dossier trouvé ; consultation sans ressaisie</t>
        </is>
      </c>
      <c r="H82" s="11" t="n"/>
      <c r="I82" s="12" t="n"/>
      <c r="J82" s="11" t="n"/>
      <c r="K82" s="11" t="n"/>
      <c r="L82" s="11" t="n"/>
    </row>
    <row r="83">
      <c r="A83" s="10" t="inlineStr">
        <is>
          <t>Parcours rôle</t>
        </is>
      </c>
      <c r="B83" s="10" t="inlineStr">
        <is>
          <t>R12-02</t>
        </is>
      </c>
      <c r="C83" s="10" t="inlineStr">
        <is>
          <t>R12 Agent Guichet (Billing Office)</t>
        </is>
      </c>
      <c r="D83" s="10" t="inlineStr">
        <is>
          <t>Aperçu des pièces</t>
        </is>
      </c>
      <c r="E83" s="10" t="inlineStr"/>
      <c r="F83" s="10" t="inlineStr">
        <is>
          <t>Dans le dossier consulté : 👁 Ouvrir</t>
        </is>
      </c>
      <c r="G83" s="10" t="inlineStr">
        <is>
          <t>Pièce affichée dans l'application</t>
        </is>
      </c>
      <c r="H83" s="11" t="n"/>
      <c r="I83" s="12" t="n"/>
      <c r="J83" s="11" t="n"/>
      <c r="K83" s="11" t="n"/>
      <c r="L83" s="11" t="n"/>
    </row>
    <row r="84">
      <c r="A84" s="10" t="inlineStr">
        <is>
          <t>Parcours rôle</t>
        </is>
      </c>
      <c r="B84" s="10" t="inlineStr">
        <is>
          <t>R12-03</t>
        </is>
      </c>
      <c r="C84" s="10" t="inlineStr">
        <is>
          <t>R12 Agent Guichet (Billing Office)</t>
        </is>
      </c>
      <c r="D84" s="10" t="inlineStr">
        <is>
          <t>Agenda par période</t>
        </is>
      </c>
      <c r="E84" s="10" t="inlineStr"/>
      <c r="F84" s="10" t="inlineStr">
        <is>
          <t>/guichet/agenda : vues Jour, Semaine de travail, Semaine, Mois ; Aujourd'hui, précédent/suivant, sélecteur de date</t>
        </is>
      </c>
      <c r="G84" s="10" t="inlineStr">
        <is>
          <t>Rendez-vous au bon jour et à la bonne heure ; « +N » en vue Mois au-delà de 3</t>
        </is>
      </c>
      <c r="H84" s="11" t="n"/>
      <c r="I84" s="12" t="n"/>
      <c r="J84" s="11" t="n"/>
      <c r="K84" s="11" t="n"/>
      <c r="L84" s="11" t="n"/>
    </row>
    <row r="85">
      <c r="A85" s="10" t="inlineStr">
        <is>
          <t>Parcours rôle</t>
        </is>
      </c>
      <c r="B85" s="10" t="inlineStr">
        <is>
          <t>R12-04</t>
        </is>
      </c>
      <c r="C85" s="10" t="inlineStr">
        <is>
          <t>R12 Agent Guichet (Billing Office)</t>
        </is>
      </c>
      <c r="D85" s="10" t="inlineStr">
        <is>
          <t>Constater la présence</t>
        </is>
      </c>
      <c r="E85" s="10" t="inlineStr"/>
      <c r="F85" s="10" t="inlineStr">
        <is>
          <t>Marquer un rendez-vous Honoré puis un autre Non présenté</t>
        </is>
      </c>
      <c r="G85" s="10" t="inlineStr">
        <is>
          <t>Statuts mis à jour et horodatés</t>
        </is>
      </c>
      <c r="H85" s="11" t="n"/>
      <c r="I85" s="12" t="n"/>
      <c r="J85" s="11" t="n"/>
      <c r="K85" s="11" t="n"/>
      <c r="L85" s="11" t="n"/>
    </row>
    <row r="86">
      <c r="A86" s="10" t="inlineStr">
        <is>
          <t>Parcours rôle</t>
        </is>
      </c>
      <c r="B86" s="10" t="inlineStr">
        <is>
          <t>R12-05</t>
        </is>
      </c>
      <c r="C86" s="10" t="inlineStr">
        <is>
          <t>R12 Agent Guichet (Billing Office)</t>
        </is>
      </c>
      <c r="D86" s="10" t="inlineStr">
        <is>
          <t>Mode dégradé</t>
        </is>
      </c>
      <c r="E86" s="10" t="inlineStr"/>
      <c r="F86" s="10" t="inlineStr">
        <is>
          <t>Régulariser une opération faite hors système</t>
        </is>
      </c>
      <c r="G86" s="10" t="inlineStr">
        <is>
          <t>Régularisation tracée au journal d'audit</t>
        </is>
      </c>
      <c r="H86" s="11" t="n"/>
      <c r="I86" s="12" t="n"/>
      <c r="J86" s="11" t="n"/>
      <c r="K86" s="11" t="n"/>
      <c r="L86" s="11" t="n"/>
    </row>
    <row r="87">
      <c r="A87" s="10" t="inlineStr">
        <is>
          <t>Parcours rôle</t>
        </is>
      </c>
      <c r="B87" s="10" t="inlineStr">
        <is>
          <t>R12-06</t>
        </is>
      </c>
      <c r="C87" s="10" t="inlineStr">
        <is>
          <t>R12 Agent Guichet (Billing Office)</t>
        </is>
      </c>
      <c r="D87" s="10" t="inlineStr">
        <is>
          <t>Menu et accès interdit</t>
        </is>
      </c>
      <c r="E87" s="10" t="inlineStr"/>
      <c r="F87" s="10" t="inlineStr">
        <is>
          <t>Vérifier le menu ; saisir l'URL d'un écran d'un autre profil</t>
        </is>
      </c>
      <c r="G87" s="10" t="inlineStr">
        <is>
          <t>Menu limité au profil ; écran étranger refusé</t>
        </is>
      </c>
      <c r="H87" s="11" t="n"/>
      <c r="I87" s="12" t="n"/>
      <c r="J87" s="11" t="n"/>
      <c r="K87" s="11" t="n"/>
      <c r="L87" s="11" t="n"/>
    </row>
    <row r="88">
      <c r="A88" s="10" t="inlineStr">
        <is>
          <t>Parcours rôle</t>
        </is>
      </c>
      <c r="B88" s="10" t="inlineStr">
        <is>
          <t>R13-01</t>
        </is>
      </c>
      <c r="C88" s="10" t="inlineStr">
        <is>
          <t>R13 Agent Réclamations</t>
        </is>
      </c>
      <c r="D88" s="10" t="inlineStr">
        <is>
          <t>Instruire</t>
        </is>
      </c>
      <c r="E88" s="10" t="inlineStr"/>
      <c r="F88" s="10" t="inlineStr">
        <is>
          <t>/reclamations/file : prendre en charge, répondre</t>
        </is>
      </c>
      <c r="G88" s="10" t="inlineStr">
        <is>
          <t>Client notifié ; réponse horodatée</t>
        </is>
      </c>
      <c r="H88" s="11" t="n"/>
      <c r="I88" s="12" t="n"/>
      <c r="J88" s="11" t="n"/>
      <c r="K88" s="11" t="n"/>
      <c r="L88" s="11" t="n"/>
    </row>
    <row r="89">
      <c r="A89" s="10" t="inlineStr">
        <is>
          <t>Parcours rôle</t>
        </is>
      </c>
      <c r="B89" s="10" t="inlineStr">
        <is>
          <t>R13-02</t>
        </is>
      </c>
      <c r="C89" s="10" t="inlineStr">
        <is>
          <t>R13 Agent Réclamations</t>
        </is>
      </c>
      <c r="D89" s="10" t="inlineStr">
        <is>
          <t>Clôturer</t>
        </is>
      </c>
      <c r="E89" s="10" t="inlineStr"/>
      <c r="F89" s="10" t="inlineStr">
        <is>
          <t>Clôturer la réclamation</t>
        </is>
      </c>
      <c r="G89" s="10" t="inlineStr">
        <is>
          <t>Statut Clôturé</t>
        </is>
      </c>
      <c r="H89" s="11" t="n"/>
      <c r="I89" s="12" t="n"/>
      <c r="J89" s="11" t="n"/>
      <c r="K89" s="11" t="n"/>
      <c r="L89" s="11" t="n"/>
    </row>
    <row r="90">
      <c r="A90" s="10" t="inlineStr">
        <is>
          <t>Parcours rôle</t>
        </is>
      </c>
      <c r="B90" s="10" t="inlineStr">
        <is>
          <t>R13-03</t>
        </is>
      </c>
      <c r="C90" s="10" t="inlineStr">
        <is>
          <t>R13 Agent Réclamations</t>
        </is>
      </c>
      <c r="D90" s="10" t="inlineStr">
        <is>
          <t>Menu et accès interdit</t>
        </is>
      </c>
      <c r="E90" s="10" t="inlineStr"/>
      <c r="F90" s="10" t="inlineStr">
        <is>
          <t>Vérifier le menu ; saisir l'URL d'un écran d'un autre profil</t>
        </is>
      </c>
      <c r="G90" s="10" t="inlineStr">
        <is>
          <t>Menu limité au profil ; écran étranger refusé</t>
        </is>
      </c>
      <c r="H90" s="11" t="n"/>
      <c r="I90" s="12" t="n"/>
      <c r="J90" s="11" t="n"/>
      <c r="K90" s="11" t="n"/>
      <c r="L90" s="11" t="n"/>
    </row>
    <row r="91">
      <c r="A91" s="10" t="inlineStr">
        <is>
          <t>Parcours rôle</t>
        </is>
      </c>
      <c r="B91" s="10" t="inlineStr">
        <is>
          <t>R14-01</t>
        </is>
      </c>
      <c r="C91" s="10" t="inlineStr">
        <is>
          <t>R14 Agent Gate (enrôlement)</t>
        </is>
      </c>
      <c r="D91" s="10" t="inlineStr">
        <is>
          <t>Instruire</t>
        </is>
      </c>
      <c r="E91" s="10" t="inlineStr"/>
      <c r="F91" s="10" t="inlineStr">
        <is>
          <t>/enrolement/file-agent-gate : vérifier les pièces, demander un complément</t>
        </is>
      </c>
      <c r="G91" s="10" t="inlineStr">
        <is>
          <t>Transporteur notifié</t>
        </is>
      </c>
      <c r="H91" s="11" t="n"/>
      <c r="I91" s="12" t="n"/>
      <c r="J91" s="11" t="n"/>
      <c r="K91" s="11" t="n"/>
      <c r="L91" s="11" t="n"/>
    </row>
    <row r="92">
      <c r="A92" s="10" t="inlineStr">
        <is>
          <t>Parcours rôle</t>
        </is>
      </c>
      <c r="B92" s="10" t="inlineStr">
        <is>
          <t>R14-02</t>
        </is>
      </c>
      <c r="C92" s="10" t="inlineStr">
        <is>
          <t>R14 Agent Gate (enrôlement)</t>
        </is>
      </c>
      <c r="D92" s="10" t="inlineStr">
        <is>
          <t>Valider et convoquer</t>
        </is>
      </c>
      <c r="E92" s="10" t="inlineStr"/>
      <c r="F92" s="10" t="inlineStr">
        <is>
          <t>Valider, fixer une convocation, constater la remise du badge</t>
        </is>
      </c>
      <c r="G92" s="10" t="inlineStr">
        <is>
          <t>Étapes horodatées ; enrôlement terminé</t>
        </is>
      </c>
      <c r="H92" s="11" t="n"/>
      <c r="I92" s="12" t="n"/>
      <c r="J92" s="11" t="n"/>
      <c r="K92" s="11" t="n"/>
      <c r="L92" s="11" t="n"/>
    </row>
    <row r="93">
      <c r="A93" s="10" t="inlineStr">
        <is>
          <t>Parcours rôle</t>
        </is>
      </c>
      <c r="B93" s="10" t="inlineStr">
        <is>
          <t>R14-03</t>
        </is>
      </c>
      <c r="C93" s="10" t="inlineStr">
        <is>
          <t>R14 Agent Gate (enrôlement)</t>
        </is>
      </c>
      <c r="D93" s="10" t="inlineStr">
        <is>
          <t>Menu et accès interdit</t>
        </is>
      </c>
      <c r="E93" s="10" t="inlineStr"/>
      <c r="F93" s="10" t="inlineStr">
        <is>
          <t>Vérifier le menu ; saisir l'URL d'un écran d'un autre profil</t>
        </is>
      </c>
      <c r="G93" s="10" t="inlineStr">
        <is>
          <t>Menu limité au profil ; écran étranger refusé</t>
        </is>
      </c>
      <c r="H93" s="11" t="n"/>
      <c r="I93" s="12" t="n"/>
      <c r="J93" s="11" t="n"/>
      <c r="K93" s="11" t="n"/>
      <c r="L93" s="11" t="n"/>
    </row>
    <row r="94">
      <c r="A94" s="10" t="inlineStr">
        <is>
          <t>Parcours rôle</t>
        </is>
      </c>
      <c r="B94" s="10" t="inlineStr">
        <is>
          <t>R15-01</t>
        </is>
      </c>
      <c r="C94" s="10" t="inlineStr">
        <is>
          <t>R15 Instructeur / décideur Avoir &amp; Exonération</t>
        </is>
      </c>
      <c r="D94" s="10" t="inlineStr">
        <is>
          <t>Instruire</t>
        </is>
      </c>
      <c r="E94" s="10" t="inlineStr"/>
      <c r="F94" s="10" t="inlineStr">
        <is>
          <t>/avoir-exoneration/file : ouvrir une demande</t>
        </is>
      </c>
      <c r="G94" s="10" t="inlineStr">
        <is>
          <t>Fiche complète ; pièces en aperçu</t>
        </is>
      </c>
      <c r="H94" s="11" t="n"/>
      <c r="I94" s="12" t="n"/>
      <c r="J94" s="11" t="n"/>
      <c r="K94" s="11" t="n"/>
      <c r="L94" s="11" t="n"/>
    </row>
    <row r="95">
      <c r="A95" s="10" t="inlineStr">
        <is>
          <t>Parcours rôle</t>
        </is>
      </c>
      <c r="B95" s="10" t="inlineStr">
        <is>
          <t>R15-02</t>
        </is>
      </c>
      <c r="C95" s="10" t="inlineStr">
        <is>
          <t>R15 Instructeur / décideur Avoir &amp; Exonération</t>
        </is>
      </c>
      <c r="D95" s="10" t="inlineStr">
        <is>
          <t>Décider</t>
        </is>
      </c>
      <c r="E95" s="10" t="inlineStr"/>
      <c r="F95" s="10" t="inlineStr">
        <is>
          <t>Accorder, puis rejeter une autre demande avec motif</t>
        </is>
      </c>
      <c r="G95" s="10" t="inlineStr">
        <is>
          <t>Décision horodatée ; client notifié</t>
        </is>
      </c>
      <c r="H95" s="11" t="n"/>
      <c r="I95" s="12" t="n"/>
      <c r="J95" s="11" t="n"/>
      <c r="K95" s="11" t="n"/>
      <c r="L95" s="11" t="n"/>
    </row>
    <row r="96">
      <c r="A96" s="10" t="inlineStr">
        <is>
          <t>Parcours rôle</t>
        </is>
      </c>
      <c r="B96" s="10" t="inlineStr">
        <is>
          <t>R15-03</t>
        </is>
      </c>
      <c r="C96" s="10" t="inlineStr">
        <is>
          <t>R15 Instructeur / décideur Avoir &amp; Exonération</t>
        </is>
      </c>
      <c r="D96" s="10" t="inlineStr">
        <is>
          <t>Séparation des droits</t>
        </is>
      </c>
      <c r="E96" s="10" t="inlineStr"/>
      <c r="F96" s="10" t="inlineStr">
        <is>
          <t>Un instructeur Avoir sans droit Exonération tente d'instruire une Exonération</t>
        </is>
      </c>
      <c r="G96" s="10" t="inlineStr">
        <is>
          <t>Action refusée</t>
        </is>
      </c>
      <c r="H96" s="11" t="n"/>
      <c r="I96" s="12" t="n"/>
      <c r="J96" s="11" t="n"/>
      <c r="K96" s="11" t="n"/>
      <c r="L96" s="11" t="n"/>
    </row>
    <row r="97">
      <c r="A97" s="10" t="inlineStr">
        <is>
          <t>Parcours rôle</t>
        </is>
      </c>
      <c r="B97" s="10" t="inlineStr">
        <is>
          <t>R15-04</t>
        </is>
      </c>
      <c r="C97" s="10" t="inlineStr">
        <is>
          <t>R15 Instructeur / décideur Avoir &amp; Exonération</t>
        </is>
      </c>
      <c r="D97" s="10" t="inlineStr">
        <is>
          <t>Menu et accès interdit</t>
        </is>
      </c>
      <c r="E97" s="10" t="inlineStr"/>
      <c r="F97" s="10" t="inlineStr">
        <is>
          <t>Vérifier le menu ; saisir l'URL d'un écran d'un autre profil</t>
        </is>
      </c>
      <c r="G97" s="10" t="inlineStr">
        <is>
          <t>Menu limité au profil ; écran étranger refusé</t>
        </is>
      </c>
      <c r="H97" s="11" t="n"/>
      <c r="I97" s="12" t="n"/>
      <c r="J97" s="11" t="n"/>
      <c r="K97" s="11" t="n"/>
      <c r="L97" s="11" t="n"/>
    </row>
    <row r="98">
      <c r="A98" s="10" t="inlineStr">
        <is>
          <t>Parcours rôle</t>
        </is>
      </c>
      <c r="B98" s="10" t="inlineStr">
        <is>
          <t>R16-01</t>
        </is>
      </c>
      <c r="C98" s="10" t="inlineStr">
        <is>
          <t>R16 Superviseur</t>
        </is>
      </c>
      <c r="D98" s="10" t="inlineStr">
        <is>
          <t>Tableau de bord</t>
        </is>
      </c>
      <c r="E98" s="10" t="inlineStr"/>
      <c r="F98" s="10" t="inlineStr">
        <is>
          <t>/supervision : indicateurs, SLA, charge par file</t>
        </is>
      </c>
      <c r="G98" s="10" t="inlineStr">
        <is>
          <t>Chiffres cohérents avec les files</t>
        </is>
      </c>
      <c r="H98" s="11" t="n"/>
      <c r="I98" s="12" t="n"/>
      <c r="J98" s="11" t="n"/>
      <c r="K98" s="11" t="n"/>
      <c r="L98" s="11" t="n"/>
    </row>
    <row r="99">
      <c r="A99" s="10" t="inlineStr">
        <is>
          <t>Parcours rôle</t>
        </is>
      </c>
      <c r="B99" s="10" t="inlineStr">
        <is>
          <t>R16-02</t>
        </is>
      </c>
      <c r="C99" s="10" t="inlineStr">
        <is>
          <t>R16 Superviseur</t>
        </is>
      </c>
      <c r="D99" s="10" t="inlineStr">
        <is>
          <t>Réaffecter</t>
        </is>
      </c>
      <c r="E99" s="10" t="inlineStr"/>
      <c r="F99" s="10" t="inlineStr">
        <is>
          <t>Réaffecter un ticket à un autre agent</t>
        </is>
      </c>
      <c r="G99" s="10" t="inlineStr">
        <is>
          <t>Nouvel agent notifié ; historique</t>
        </is>
      </c>
      <c r="H99" s="11" t="n"/>
      <c r="I99" s="12" t="n"/>
      <c r="J99" s="11" t="n"/>
      <c r="K99" s="11" t="n"/>
      <c r="L99" s="11" t="n"/>
    </row>
    <row r="100">
      <c r="A100" s="10" t="inlineStr">
        <is>
          <t>Parcours rôle</t>
        </is>
      </c>
      <c r="B100" s="10" t="inlineStr">
        <is>
          <t>R16-03</t>
        </is>
      </c>
      <c r="C100" s="10" t="inlineStr">
        <is>
          <t>R16 Superviseur</t>
        </is>
      </c>
      <c r="D100" s="10" t="inlineStr">
        <is>
          <t>Action de masse</t>
        </is>
      </c>
      <c r="E100" s="10" t="inlineStr"/>
      <c r="F100" s="10" t="inlineStr">
        <is>
          <t>Sélectionner plusieurs tickets et les réaffecter</t>
        </is>
      </c>
      <c r="G100" s="10" t="inlineStr">
        <is>
          <t>Tous traités ; trace par ticket</t>
        </is>
      </c>
      <c r="H100" s="11" t="n"/>
      <c r="I100" s="12" t="n"/>
      <c r="J100" s="11" t="n"/>
      <c r="K100" s="11" t="n"/>
      <c r="L100" s="11" t="n"/>
    </row>
    <row r="101">
      <c r="A101" s="10" t="inlineStr">
        <is>
          <t>Parcours rôle</t>
        </is>
      </c>
      <c r="B101" s="10" t="inlineStr">
        <is>
          <t>R16-04</t>
        </is>
      </c>
      <c r="C101" s="10" t="inlineStr">
        <is>
          <t>R16 Superviseur</t>
        </is>
      </c>
      <c r="D101" s="10" t="inlineStr">
        <is>
          <t>Modifier une priorité</t>
        </is>
      </c>
      <c r="E101" s="10" t="inlineStr"/>
      <c r="F101" s="10" t="inlineStr">
        <is>
          <t>Changer la priorité d'un ticket</t>
        </is>
      </c>
      <c r="G101" s="10" t="inlineStr">
        <is>
          <t>Ordre de la file mis à jour</t>
        </is>
      </c>
      <c r="H101" s="11" t="n"/>
      <c r="I101" s="12" t="n"/>
      <c r="J101" s="11" t="n"/>
      <c r="K101" s="11" t="n"/>
      <c r="L101" s="11" t="n"/>
    </row>
    <row r="102">
      <c r="A102" s="10" t="inlineStr">
        <is>
          <t>Parcours rôle</t>
        </is>
      </c>
      <c r="B102" s="10" t="inlineStr">
        <is>
          <t>R16-05</t>
        </is>
      </c>
      <c r="C102" s="10" t="inlineStr">
        <is>
          <t>R16 Superviseur</t>
        </is>
      </c>
      <c r="D102" s="10" t="inlineStr">
        <is>
          <t>Export</t>
        </is>
      </c>
      <c r="E102" s="10" t="inlineStr"/>
      <c r="F102" s="10" t="inlineStr">
        <is>
          <t>Exporter en CSV</t>
        </is>
      </c>
      <c r="G102" s="10" t="inlineStr">
        <is>
          <t>Fichier conforme au périmètre</t>
        </is>
      </c>
      <c r="H102" s="11" t="n"/>
      <c r="I102" s="12" t="n"/>
      <c r="J102" s="11" t="n"/>
      <c r="K102" s="11" t="n"/>
      <c r="L102" s="11" t="n"/>
    </row>
    <row r="103">
      <c r="A103" s="10" t="inlineStr">
        <is>
          <t>Parcours rôle</t>
        </is>
      </c>
      <c r="B103" s="10" t="inlineStr">
        <is>
          <t>R16-06</t>
        </is>
      </c>
      <c r="C103" s="10" t="inlineStr">
        <is>
          <t>R16 Superviseur</t>
        </is>
      </c>
      <c r="D103" s="10" t="inlineStr">
        <is>
          <t>Menu et accès interdit</t>
        </is>
      </c>
      <c r="E103" s="10" t="inlineStr"/>
      <c r="F103" s="10" t="inlineStr">
        <is>
          <t>Vérifier le menu ; saisir l'URL d'un écran d'un autre profil</t>
        </is>
      </c>
      <c r="G103" s="10" t="inlineStr">
        <is>
          <t>Menu limité au profil ; écran étranger refusé</t>
        </is>
      </c>
      <c r="H103" s="11" t="n"/>
      <c r="I103" s="12" t="n"/>
      <c r="J103" s="11" t="n"/>
      <c r="K103" s="11" t="n"/>
      <c r="L103" s="11" t="n"/>
    </row>
    <row r="104">
      <c r="A104" s="10" t="inlineStr">
        <is>
          <t>Parcours rôle</t>
        </is>
      </c>
      <c r="B104" s="10" t="inlineStr">
        <is>
          <t>R17-01</t>
        </is>
      </c>
      <c r="C104" s="10" t="inlineStr">
        <is>
          <t>R17 Support IT N1 / N2</t>
        </is>
      </c>
      <c r="D104" s="10" t="inlineStr">
        <is>
          <t>File N1</t>
        </is>
      </c>
      <c r="E104" s="10" t="inlineStr"/>
      <c r="F104" s="10" t="inlineStr">
        <is>
          <t>/support/incidents/file : prendre en charge un incident</t>
        </is>
      </c>
      <c r="G104" s="10" t="inlineStr">
        <is>
          <t>Incident affecté ; SLA démarré</t>
        </is>
      </c>
      <c r="H104" s="11" t="n"/>
      <c r="I104" s="12" t="n"/>
      <c r="J104" s="11" t="n"/>
      <c r="K104" s="11" t="n"/>
      <c r="L104" s="11" t="n"/>
    </row>
    <row r="105">
      <c r="A105" s="10" t="inlineStr">
        <is>
          <t>Parcours rôle</t>
        </is>
      </c>
      <c r="B105" s="10" t="inlineStr">
        <is>
          <t>R17-02</t>
        </is>
      </c>
      <c r="C105" s="10" t="inlineStr">
        <is>
          <t>R17 Support IT N1 / N2</t>
        </is>
      </c>
      <c r="D105" s="10" t="inlineStr">
        <is>
          <t>Diagnostiquer</t>
        </is>
      </c>
      <c r="E105" s="10" t="inlineStr"/>
      <c r="F105" s="10" t="inlineStr">
        <is>
          <t>Rechercher le dossier au guichet ; consulter le journal d'audit</t>
        </is>
      </c>
      <c r="G105" s="10" t="inlineStr">
        <is>
          <t>Lecture seule : aucune modification de dossier possible</t>
        </is>
      </c>
      <c r="H105" s="11" t="n"/>
      <c r="I105" s="12" t="n"/>
      <c r="J105" s="11" t="n"/>
      <c r="K105" s="11" t="n"/>
      <c r="L105" s="11" t="n"/>
    </row>
    <row r="106">
      <c r="A106" s="10" t="inlineStr">
        <is>
          <t>Parcours rôle</t>
        </is>
      </c>
      <c r="B106" s="10" t="inlineStr">
        <is>
          <t>R17-03</t>
        </is>
      </c>
      <c r="C106" s="10" t="inlineStr">
        <is>
          <t>R17 Support IT N1 / N2</t>
        </is>
      </c>
      <c r="D106" s="10" t="inlineStr">
        <is>
          <t>Résoudre en N1</t>
        </is>
      </c>
      <c r="E106" s="10" t="inlineStr"/>
      <c r="F106" s="10" t="inlineStr">
        <is>
          <t>Répondre puis résoudre</t>
        </is>
      </c>
      <c r="G106" s="10" t="inlineStr">
        <is>
          <t>Déclarant notifié ; clôture</t>
        </is>
      </c>
      <c r="H106" s="11" t="n"/>
      <c r="I106" s="12" t="n"/>
      <c r="J106" s="11" t="n"/>
      <c r="K106" s="11" t="n"/>
      <c r="L106" s="11" t="n"/>
    </row>
    <row r="107">
      <c r="A107" s="10" t="inlineStr">
        <is>
          <t>Parcours rôle</t>
        </is>
      </c>
      <c r="B107" s="10" t="inlineStr">
        <is>
          <t>R17-04</t>
        </is>
      </c>
      <c r="C107" s="10" t="inlineStr">
        <is>
          <t>R17 Support IT N1 / N2</t>
        </is>
      </c>
      <c r="D107" s="10" t="inlineStr">
        <is>
          <t>Escalader en N2</t>
        </is>
      </c>
      <c r="E107" s="10" t="inlineStr"/>
      <c r="F107" s="10" t="inlineStr">
        <is>
          <t>Escalader avec un motif</t>
        </is>
      </c>
      <c r="G107" s="10" t="inlineStr">
        <is>
          <t>Incident dans la file N2 ; le N1 ne peut plus le traiter</t>
        </is>
      </c>
      <c r="H107" s="11" t="n"/>
      <c r="I107" s="12" t="n"/>
      <c r="J107" s="11" t="n"/>
      <c r="K107" s="11" t="n"/>
      <c r="L107" s="11" t="n"/>
    </row>
    <row r="108">
      <c r="A108" s="10" t="inlineStr">
        <is>
          <t>Parcours rôle</t>
        </is>
      </c>
      <c r="B108" s="10" t="inlineStr">
        <is>
          <t>R17-05</t>
        </is>
      </c>
      <c r="C108" s="10" t="inlineStr">
        <is>
          <t>R17 Support IT N1 / N2</t>
        </is>
      </c>
      <c r="D108" s="10" t="inlineStr">
        <is>
          <t>Résoudre en N2</t>
        </is>
      </c>
      <c r="E108" s="10" t="inlineStr"/>
      <c r="F108" s="10" t="inlineStr">
        <is>
          <t>Compte N2 : reprendre, résoudre, clôturer</t>
        </is>
      </c>
      <c r="G108" s="10" t="inlineStr">
        <is>
          <t>Déclarant notifié</t>
        </is>
      </c>
      <c r="H108" s="11" t="n"/>
      <c r="I108" s="12" t="n"/>
      <c r="J108" s="11" t="n"/>
      <c r="K108" s="11" t="n"/>
      <c r="L108" s="11" t="n"/>
    </row>
    <row r="109">
      <c r="A109" s="10" t="inlineStr">
        <is>
          <t>Parcours rôle</t>
        </is>
      </c>
      <c r="B109" s="10" t="inlineStr">
        <is>
          <t>R17-06</t>
        </is>
      </c>
      <c r="C109" s="10" t="inlineStr">
        <is>
          <t>R17 Support IT N1 / N2</t>
        </is>
      </c>
      <c r="D109" s="10" t="inlineStr">
        <is>
          <t>SLA dépassé</t>
        </is>
      </c>
      <c r="E109" s="10" t="inlineStr"/>
      <c r="F109" s="10" t="inlineStr">
        <is>
          <t>Laisser un incident dépasser son délai</t>
        </is>
      </c>
      <c r="G109" s="10" t="inlineStr">
        <is>
          <t>Alerte ou escalade automatique selon les règles</t>
        </is>
      </c>
      <c r="H109" s="11" t="n"/>
      <c r="I109" s="12" t="n"/>
      <c r="J109" s="11" t="n"/>
      <c r="K109" s="11" t="n"/>
      <c r="L109" s="11" t="n"/>
    </row>
    <row r="110">
      <c r="A110" s="10" t="inlineStr">
        <is>
          <t>Parcours rôle</t>
        </is>
      </c>
      <c r="B110" s="10" t="inlineStr">
        <is>
          <t>R17-07</t>
        </is>
      </c>
      <c r="C110" s="10" t="inlineStr">
        <is>
          <t>R17 Support IT N1 / N2</t>
        </is>
      </c>
      <c r="D110" s="10" t="inlineStr">
        <is>
          <t>Menu et accès interdit</t>
        </is>
      </c>
      <c r="E110" s="10" t="inlineStr"/>
      <c r="F110" s="10" t="inlineStr">
        <is>
          <t>Vérifier le menu ; saisir l'URL d'un écran d'un autre profil</t>
        </is>
      </c>
      <c r="G110" s="10" t="inlineStr">
        <is>
          <t>Menu limité au profil ; écran étranger refusé</t>
        </is>
      </c>
      <c r="H110" s="11" t="n"/>
      <c r="I110" s="12" t="n"/>
      <c r="J110" s="11" t="n"/>
      <c r="K110" s="11" t="n"/>
      <c r="L110" s="11" t="n"/>
    </row>
    <row r="111">
      <c r="A111" s="10" t="inlineStr">
        <is>
          <t>Parcours rôle</t>
        </is>
      </c>
      <c r="B111" s="10" t="inlineStr">
        <is>
          <t>R18-01</t>
        </is>
      </c>
      <c r="C111" s="10" t="inlineStr">
        <is>
          <t>R18 Administrateur fonctionnel</t>
        </is>
      </c>
      <c r="D111" s="10" t="inlineStr">
        <is>
          <t>Valider une demande de compte</t>
        </is>
      </c>
      <c r="E111" s="10" t="inlineStr"/>
      <c r="F111" s="10" t="inlineStr">
        <is>
          <t>/comptes/valider : valider une demande, en rejeter une autre avec motif</t>
        </is>
      </c>
      <c r="G111" s="10" t="inlineStr">
        <is>
          <t>Société créée ; demandeur rejeté notifié</t>
        </is>
      </c>
      <c r="H111" s="11" t="n"/>
      <c r="I111" s="12" t="n"/>
      <c r="J111" s="11" t="n"/>
      <c r="K111" s="11" t="n"/>
      <c r="L111" s="11" t="n"/>
    </row>
    <row r="112">
      <c r="A112" s="10" t="inlineStr">
        <is>
          <t>Parcours rôle</t>
        </is>
      </c>
      <c r="B112" s="10" t="inlineStr">
        <is>
          <t>R18-02</t>
        </is>
      </c>
      <c r="C112" s="10" t="inlineStr">
        <is>
          <t>R18 Administrateur fonctionnel</t>
        </is>
      </c>
      <c r="D112" s="10" t="inlineStr">
        <is>
          <t>Modifier le type client</t>
        </is>
      </c>
      <c r="E112" s="10" t="inlineStr"/>
      <c r="F112" s="10" t="inlineStr">
        <is>
          <t>/comptes/modifier-type</t>
        </is>
      </c>
      <c r="G112" s="10" t="inlineStr">
        <is>
          <t>Changement tracé</t>
        </is>
      </c>
      <c r="H112" s="11" t="n"/>
      <c r="I112" s="12" t="n"/>
      <c r="J112" s="11" t="n"/>
      <c r="K112" s="11" t="n"/>
      <c r="L112" s="11" t="n"/>
    </row>
    <row r="113">
      <c r="A113" s="10" t="inlineStr">
        <is>
          <t>Parcours rôle</t>
        </is>
      </c>
      <c r="B113" s="10" t="inlineStr">
        <is>
          <t>R18-03</t>
        </is>
      </c>
      <c r="C113" s="10" t="inlineStr">
        <is>
          <t>R18 Administrateur fonctionnel</t>
        </is>
      </c>
      <c r="D113" s="10" t="inlineStr">
        <is>
          <t>Comptes agents</t>
        </is>
      </c>
      <c r="E113" s="10" t="inlineStr"/>
      <c r="F113" s="10" t="inlineStr">
        <is>
          <t>/administration/comptes-agents : créer, attribuer des permissions, appliquer le profil Support N1, désactiver</t>
        </is>
      </c>
      <c r="G113" s="10" t="inlineStr">
        <is>
          <t>Droits effectifs à la reconnexion de l'agent</t>
        </is>
      </c>
      <c r="H113" s="11" t="n"/>
      <c r="I113" s="12" t="n"/>
      <c r="J113" s="11" t="n"/>
      <c r="K113" s="11" t="n"/>
      <c r="L113" s="11" t="n"/>
    </row>
    <row r="114">
      <c r="A114" s="10" t="inlineStr">
        <is>
          <t>Parcours rôle</t>
        </is>
      </c>
      <c r="B114" s="10" t="inlineStr">
        <is>
          <t>R18-04</t>
        </is>
      </c>
      <c r="C114" s="10" t="inlineStr">
        <is>
          <t>R18 Administrateur fonctionnel</t>
        </is>
      </c>
      <c r="D114" s="10" t="inlineStr">
        <is>
          <t>SLA et escalade</t>
        </is>
      </c>
      <c r="E114" s="10" t="inlineStr"/>
      <c r="F114" s="10" t="inlineStr">
        <is>
          <t>/administration/parametres-sla et /administration/regles-escalade</t>
        </is>
      </c>
      <c r="G114" s="10" t="inlineStr">
        <is>
          <t>Nouveaux délais appliqués aux nouveaux tickets</t>
        </is>
      </c>
      <c r="H114" s="11" t="n"/>
      <c r="I114" s="12" t="n"/>
      <c r="J114" s="11" t="n"/>
      <c r="K114" s="11" t="n"/>
      <c r="L114" s="11" t="n"/>
    </row>
    <row r="115">
      <c r="A115" s="10" t="inlineStr">
        <is>
          <t>Parcours rôle</t>
        </is>
      </c>
      <c r="B115" s="10" t="inlineStr">
        <is>
          <t>R18-05</t>
        </is>
      </c>
      <c r="C115" s="10" t="inlineStr">
        <is>
          <t>R18 Administrateur fonctionnel</t>
        </is>
      </c>
      <c r="D115" s="10" t="inlineStr">
        <is>
          <t>Files et workflow</t>
        </is>
      </c>
      <c r="E115" s="10" t="inlineStr"/>
      <c r="F115" s="10" t="inlineStr">
        <is>
          <t>strategie-file, matrice-transitions, motifs-transfert, pieces-exigees-etape, regles-priorite-automatique, priorites, etapes-bloquantes-annulation, libelles-statut</t>
        </is>
      </c>
      <c r="G115" s="10" t="inlineStr">
        <is>
          <t>Pris en compte sans redéploiement</t>
        </is>
      </c>
      <c r="H115" s="11" t="n"/>
      <c r="I115" s="12" t="n"/>
      <c r="J115" s="11" t="n"/>
      <c r="K115" s="11" t="n"/>
      <c r="L115" s="11" t="n"/>
    </row>
    <row r="116">
      <c r="A116" s="10" t="inlineStr">
        <is>
          <t>Parcours rôle</t>
        </is>
      </c>
      <c r="B116" s="10" t="inlineStr">
        <is>
          <t>R18-06</t>
        </is>
      </c>
      <c r="C116" s="10" t="inlineStr">
        <is>
          <t>R18 Administrateur fonctionnel</t>
        </is>
      </c>
      <c r="D116" s="10" t="inlineStr">
        <is>
          <t>Référentiels</t>
        </is>
      </c>
      <c r="E116" s="10" t="inlineStr"/>
      <c r="F116" s="10" t="inlineStr">
        <is>
          <t>champs-enrolement, catégories de réclamation, categories-incident, pieces-exigees-compte, competences-operateur, perimetres-supervision, disponibilite</t>
        </is>
      </c>
      <c r="G116" s="10" t="inlineStr">
        <is>
          <t>Valeurs visibles dans les formulaires concernés</t>
        </is>
      </c>
      <c r="H116" s="11" t="n"/>
      <c r="I116" s="12" t="n"/>
      <c r="J116" s="11" t="n"/>
      <c r="K116" s="11" t="n"/>
      <c r="L116" s="11" t="n"/>
    </row>
    <row r="117">
      <c r="A117" s="10" t="inlineStr">
        <is>
          <t>Parcours rôle</t>
        </is>
      </c>
      <c r="B117" s="10" t="inlineStr">
        <is>
          <t>R18-07</t>
        </is>
      </c>
      <c r="C117" s="10" t="inlineStr">
        <is>
          <t>R18 Administrateur fonctionnel</t>
        </is>
      </c>
      <c r="D117" s="10" t="inlineStr">
        <is>
          <t>Tarification</t>
        </is>
      </c>
      <c r="E117" s="10" t="inlineStr"/>
      <c r="F117" s="10" t="inlineStr">
        <is>
          <t>/admin/tarification : nouvelle version de grille avec date d'effet ; /admin/tarification/referentiels</t>
        </is>
      </c>
      <c r="G117" s="10" t="inlineStr">
        <is>
          <t>Les simulations suivantes utilisent la nouvelle grille ; les anciennes sont signalées obsolètes</t>
        </is>
      </c>
      <c r="H117" s="11" t="n"/>
      <c r="I117" s="12" t="n"/>
      <c r="J117" s="11" t="n"/>
      <c r="K117" s="11" t="n"/>
      <c r="L117" s="11" t="n"/>
    </row>
    <row r="118">
      <c r="A118" s="10" t="inlineStr">
        <is>
          <t>Parcours rôle</t>
        </is>
      </c>
      <c r="B118" s="10" t="inlineStr">
        <is>
          <t>R18-08</t>
        </is>
      </c>
      <c r="C118" s="10" t="inlineStr">
        <is>
          <t>R18 Administrateur fonctionnel</t>
        </is>
      </c>
      <c r="D118" s="10" t="inlineStr">
        <is>
          <t>Notifications et assistant</t>
        </is>
      </c>
      <c r="E118" s="10" t="inlineStr"/>
      <c r="F118" s="10" t="inlineStr">
        <is>
          <t>/administration/notifications et /administration/assistant</t>
        </is>
      </c>
      <c r="G118" s="10" t="inlineStr">
        <is>
          <t>Modèles et réponses appliqués</t>
        </is>
      </c>
      <c r="H118" s="11" t="n"/>
      <c r="I118" s="12" t="n"/>
      <c r="J118" s="11" t="n"/>
      <c r="K118" s="11" t="n"/>
      <c r="L118" s="11" t="n"/>
    </row>
    <row r="119">
      <c r="A119" s="10" t="inlineStr">
        <is>
          <t>Parcours rôle</t>
        </is>
      </c>
      <c r="B119" s="10" t="inlineStr">
        <is>
          <t>R18-09</t>
        </is>
      </c>
      <c r="C119" s="10" t="inlineStr">
        <is>
          <t>R18 Administrateur fonctionnel</t>
        </is>
      </c>
      <c r="D119" s="10" t="inlineStr">
        <is>
          <t>Journal d'audit</t>
        </is>
      </c>
      <c r="E119" s="10" t="inlineStr"/>
      <c r="F119" s="10" t="inlineStr">
        <is>
          <t>/administration/audit : filtrer par utilisateur, action, date</t>
        </is>
      </c>
      <c r="G119" s="10" t="inlineStr">
        <is>
          <t>Toutes les actions de la campagne apparaissent, à la seconde, non modifiables</t>
        </is>
      </c>
      <c r="H119" s="11" t="n"/>
      <c r="I119" s="12" t="n"/>
      <c r="J119" s="11" t="n"/>
      <c r="K119" s="11" t="n"/>
      <c r="L119" s="11" t="n"/>
    </row>
    <row r="120">
      <c r="A120" s="10" t="inlineStr">
        <is>
          <t>Parcours rôle</t>
        </is>
      </c>
      <c r="B120" s="10" t="inlineStr">
        <is>
          <t>R18-10</t>
        </is>
      </c>
      <c r="C120" s="10" t="inlineStr">
        <is>
          <t>R18 Administrateur fonctionnel</t>
        </is>
      </c>
      <c r="D120" s="10" t="inlineStr">
        <is>
          <t>Archives</t>
        </is>
      </c>
      <c r="E120" s="10" t="inlineStr"/>
      <c r="F120" s="10" t="inlineStr">
        <is>
          <t>/administration/archives</t>
        </is>
      </c>
      <c r="G120" s="10" t="inlineStr">
        <is>
          <t>Dossiers archivés consultables, date et heure d'archivage</t>
        </is>
      </c>
      <c r="H120" s="11" t="n"/>
      <c r="I120" s="12" t="n"/>
      <c r="J120" s="11" t="n"/>
      <c r="K120" s="11" t="n"/>
      <c r="L120" s="11" t="n"/>
    </row>
    <row r="121">
      <c r="A121" s="10" t="inlineStr">
        <is>
          <t>Parcours rôle</t>
        </is>
      </c>
      <c r="B121" s="10" t="inlineStr">
        <is>
          <t>R18-11</t>
        </is>
      </c>
      <c r="C121" s="10" t="inlineStr">
        <is>
          <t>R18 Administrateur fonctionnel</t>
        </is>
      </c>
      <c r="D121" s="10" t="inlineStr">
        <is>
          <t>Invitation d'un agent</t>
        </is>
      </c>
      <c r="E121" s="10" t="inlineStr"/>
      <c r="F121" s="10" t="inlineStr">
        <is>
          <t>Comptes agents &gt; Nouveau collaborateur : e-mail + nom, « Envoyer l'invitation »</t>
        </is>
      </c>
      <c r="G121" s="10" t="inlineStr">
        <is>
          <t>Aucun mot de passe demandé ; e-mail « Activez votre compte » reçu ; badge « Invitation en attente »</t>
        </is>
      </c>
      <c r="H121" s="11" t="n"/>
      <c r="I121" s="12" t="n"/>
      <c r="J121" s="11" t="n"/>
      <c r="K121" s="11" t="n"/>
      <c r="L121" s="11" t="n"/>
    </row>
    <row r="122">
      <c r="A122" s="10" t="inlineStr">
        <is>
          <t>Parcours rôle</t>
        </is>
      </c>
      <c r="B122" s="10" t="inlineStr">
        <is>
          <t>R18-12</t>
        </is>
      </c>
      <c r="C122" s="10" t="inlineStr">
        <is>
          <t>R18 Administrateur fonctionnel</t>
        </is>
      </c>
      <c r="D122" s="10" t="inlineStr">
        <is>
          <t>Activation par l'agent</t>
        </is>
      </c>
      <c r="E122" s="10" t="inlineStr"/>
      <c r="F122" s="10" t="inlineStr">
        <is>
          <t>L'agent ouvre le lien (&lt; 2 h), choisit son mot de passe, se connecte</t>
        </is>
      </c>
      <c r="G122" s="10" t="inlineStr">
        <is>
          <t>Page « Activez votre compte » ; puis 2FA obligatoire ; le badge « Invitation en attente » disparaît</t>
        </is>
      </c>
      <c r="H122" s="11" t="n"/>
      <c r="I122" s="12" t="n"/>
      <c r="J122" s="11" t="n"/>
      <c r="K122" s="11" t="n"/>
      <c r="L122" s="11" t="n"/>
    </row>
    <row r="123">
      <c r="A123" s="10" t="inlineStr">
        <is>
          <t>Parcours rôle</t>
        </is>
      </c>
      <c r="B123" s="10" t="inlineStr">
        <is>
          <t>R18-13</t>
        </is>
      </c>
      <c r="C123" s="10" t="inlineStr">
        <is>
          <t>R18 Administrateur fonctionnel</t>
        </is>
      </c>
      <c r="D123" s="10" t="inlineStr">
        <is>
          <t>Renvoyer l'invitation</t>
        </is>
      </c>
      <c r="E123" s="10" t="inlineStr"/>
      <c r="F123" s="10" t="inlineStr">
        <is>
          <t>Sur un agent en attente : « Renvoyer l'invitation »</t>
        </is>
      </c>
      <c r="G123" s="10" t="inlineStr">
        <is>
          <t>Nouveau lien reçu ; action visible au journal d'audit (InvitationAgentRenvoyee)</t>
        </is>
      </c>
      <c r="H123" s="11" t="n"/>
      <c r="I123" s="12" t="n"/>
      <c r="J123" s="11" t="n"/>
      <c r="K123" s="11" t="n"/>
      <c r="L123" s="11" t="n"/>
    </row>
    <row r="124">
      <c r="A124" s="10" t="inlineStr">
        <is>
          <t>Parcours rôle</t>
        </is>
      </c>
      <c r="B124" s="10" t="inlineStr">
        <is>
          <t>R18-14</t>
        </is>
      </c>
      <c r="C124" s="10" t="inlineStr">
        <is>
          <t>R18 Administrateur fonctionnel</t>
        </is>
      </c>
      <c r="D124" s="10" t="inlineStr">
        <is>
          <t>Correction de l'identité d'une société</t>
        </is>
      </c>
      <c r="E124" s="10" t="inlineStr"/>
      <c r="F124" s="10" t="inlineStr">
        <is>
          <t>Modifier le type de client &gt; Identité : corriger raison sociale / RCCM ; tester un RCCM déjà pris</t>
        </is>
      </c>
      <c r="G124" s="10" t="inlineStr">
        <is>
          <t>Mise à jour tracée à l'audit (avant/après) ; RCCM déjà pris refusé ; alerte si RCCM manquant</t>
        </is>
      </c>
      <c r="H124" s="11" t="n"/>
      <c r="I124" s="12" t="n"/>
      <c r="J124" s="11" t="n"/>
      <c r="K124" s="11" t="n"/>
      <c r="L124" s="11" t="n"/>
    </row>
    <row r="125">
      <c r="A125" s="10" t="inlineStr">
        <is>
          <t>Parcours rôle</t>
        </is>
      </c>
      <c r="B125" s="10" t="inlineStr">
        <is>
          <t>R18-15</t>
        </is>
      </c>
      <c r="C125" s="10" t="inlineStr">
        <is>
          <t>R18 Administrateur fonctionnel</t>
        </is>
      </c>
      <c r="D125" s="10" t="inlineStr">
        <is>
          <t>Liste des sociétés par nom</t>
        </is>
      </c>
      <c r="E125" s="10" t="inlineStr"/>
      <c r="F125" s="10" t="inlineStr">
        <is>
          <t>Modifier le type de client : ouvrir la liste des sociétés</t>
        </is>
      </c>
      <c r="G125" s="10" t="inlineStr">
        <is>
          <t>Noms seuls, triés ; RCCM de la société choisie affiché dessous</t>
        </is>
      </c>
      <c r="H125" s="11" t="n"/>
      <c r="I125" s="12" t="n"/>
      <c r="J125" s="11" t="n"/>
      <c r="K125" s="11" t="n"/>
      <c r="L125" s="11" t="n"/>
    </row>
    <row r="126">
      <c r="A126" s="10" t="inlineStr">
        <is>
          <t>Parcours rôle</t>
        </is>
      </c>
      <c r="B126" s="10" t="inlineStr">
        <is>
          <t>R18-16</t>
        </is>
      </c>
      <c r="C126" s="10" t="inlineStr">
        <is>
          <t>R18 Administrateur fonctionnel</t>
        </is>
      </c>
      <c r="D126" s="10" t="inlineStr">
        <is>
          <t>Menu et accès interdit</t>
        </is>
      </c>
      <c r="E126" s="10" t="inlineStr"/>
      <c r="F126" s="10" t="inlineStr">
        <is>
          <t>Vérifier le menu ; saisir l'URL d'un écran d'un autre profil</t>
        </is>
      </c>
      <c r="G126" s="10" t="inlineStr">
        <is>
          <t>Menu limité au profil ; écran étranger refusé</t>
        </is>
      </c>
      <c r="H126" s="11" t="n"/>
      <c r="I126" s="12" t="n"/>
      <c r="J126" s="11" t="n"/>
      <c r="K126" s="11" t="n"/>
      <c r="L126" s="11" t="n"/>
    </row>
    <row r="127">
      <c r="A127" s="10" t="inlineStr">
        <is>
          <t>Parcours rôle</t>
        </is>
      </c>
      <c r="B127" s="10" t="inlineStr">
        <is>
          <t>R19-01</t>
        </is>
      </c>
      <c r="C127" s="10" t="inlineStr">
        <is>
          <t>R19 Super administrateur</t>
        </is>
      </c>
      <c r="D127" s="10" t="inlineStr">
        <is>
          <t>Changement d'espace</t>
        </is>
      </c>
      <c r="E127" s="10" t="inlineStr"/>
      <c r="F127" s="10" t="inlineStr">
        <is>
          <t>Sélecteur d'espace en haut du menu : Opérateur, Supervision, Administration…</t>
        </is>
      </c>
      <c r="G127" s="10" t="inlineStr">
        <is>
          <t>Menu filtré selon l'espace choisi</t>
        </is>
      </c>
      <c r="H127" s="11" t="n"/>
      <c r="I127" s="12" t="n"/>
      <c r="J127" s="11" t="n"/>
      <c r="K127" s="11" t="n"/>
      <c r="L127" s="11" t="n"/>
    </row>
    <row r="128">
      <c r="A128" s="10" t="inlineStr">
        <is>
          <t>Parcours rôle</t>
        </is>
      </c>
      <c r="B128" s="10" t="inlineStr">
        <is>
          <t>R19-02</t>
        </is>
      </c>
      <c r="C128" s="10" t="inlineStr">
        <is>
          <t>R19 Super administrateur</t>
        </is>
      </c>
      <c r="D128" s="10" t="inlineStr">
        <is>
          <t>Couverture N1 + N2</t>
        </is>
      </c>
      <c r="E128" s="10" t="inlineStr"/>
      <c r="F128" s="10" t="inlineStr">
        <is>
          <t>Traiter un incident N1 puis un incident N2</t>
        </is>
      </c>
      <c r="G128" s="10" t="inlineStr">
        <is>
          <t>Autorisé aux deux niveaux</t>
        </is>
      </c>
      <c r="H128" s="11" t="n"/>
      <c r="I128" s="12" t="n"/>
      <c r="J128" s="11" t="n"/>
      <c r="K128" s="11" t="n"/>
      <c r="L128" s="11" t="n"/>
    </row>
    <row r="129">
      <c r="A129" s="10" t="inlineStr">
        <is>
          <t>Parcours rôle</t>
        </is>
      </c>
      <c r="B129" s="10" t="inlineStr">
        <is>
          <t>R19-03</t>
        </is>
      </c>
      <c r="C129" s="10" t="inlineStr">
        <is>
          <t>R19 Super administrateur</t>
        </is>
      </c>
      <c r="D129" s="10" t="inlineStr">
        <is>
          <t>Dérogation au workflow</t>
        </is>
      </c>
      <c r="E129" s="10" t="inlineStr"/>
      <c r="F129" s="10" t="inlineStr">
        <is>
          <t>Déroger avec un motif sur un ticket</t>
        </is>
      </c>
      <c r="G129" s="10" t="inlineStr">
        <is>
          <t>Dérogation tracée au journal d'audit</t>
        </is>
      </c>
      <c r="H129" s="11" t="n"/>
      <c r="I129" s="12" t="n"/>
      <c r="J129" s="11" t="n"/>
      <c r="K129" s="11" t="n"/>
      <c r="L129" s="11" t="n"/>
    </row>
    <row r="130">
      <c r="A130" s="10" t="inlineStr">
        <is>
          <t>Parcours rôle</t>
        </is>
      </c>
      <c r="B130" s="10" t="inlineStr">
        <is>
          <t>R19-04</t>
        </is>
      </c>
      <c r="C130" s="10" t="inlineStr">
        <is>
          <t>R19 Super administrateur</t>
        </is>
      </c>
      <c r="D130" s="10" t="inlineStr">
        <is>
          <t>Espace affiché du super-admin</t>
        </is>
      </c>
      <c r="E130" s="10" t="inlineStr"/>
      <c r="F130" s="10" t="inlineStr">
        <is>
          <t>Se connecter en super-admin ; basculer entre les espaces</t>
        </is>
      </c>
      <c r="G130" s="10" t="inlineStr">
        <is>
          <t>Jamais « Espace Transporteur » ; la pastille affiche l'espace réellement actif</t>
        </is>
      </c>
      <c r="H130" s="11" t="n"/>
      <c r="I130" s="12" t="n"/>
      <c r="J130" s="11" t="n"/>
      <c r="K130" s="11" t="n"/>
      <c r="L130" s="11" t="n"/>
    </row>
    <row r="131">
      <c r="A131" s="10" t="inlineStr">
        <is>
          <t>Parcours rôle</t>
        </is>
      </c>
      <c r="B131" s="10" t="inlineStr">
        <is>
          <t>R19-05</t>
        </is>
      </c>
      <c r="C131" s="10" t="inlineStr">
        <is>
          <t>R19 Super administrateur</t>
        </is>
      </c>
      <c r="D131" s="10" t="inlineStr">
        <is>
          <t>Compteur super-administrateurs</t>
        </is>
      </c>
      <c r="E131" s="10" t="inlineStr"/>
      <c r="F131" s="10" t="inlineStr">
        <is>
          <t>Comptes agents : lire la carte « Super-Administrateurs »</t>
        </is>
      </c>
      <c r="G131" s="10" t="inlineStr">
        <is>
          <t>Au moins 1 ; le super-admin détient toutes les permissions, y compris les plus récentes</t>
        </is>
      </c>
      <c r="H131" s="11" t="n"/>
      <c r="I131" s="12" t="n"/>
      <c r="J131" s="11" t="n"/>
      <c r="K131" s="11" t="n"/>
      <c r="L131" s="11" t="n"/>
    </row>
    <row r="132">
      <c r="A132" s="10" t="inlineStr">
        <is>
          <t>Parcours rôle</t>
        </is>
      </c>
      <c r="B132" s="10" t="inlineStr">
        <is>
          <t>R19-06</t>
        </is>
      </c>
      <c r="C132" s="10" t="inlineStr">
        <is>
          <t>R19 Super administrateur</t>
        </is>
      </c>
      <c r="D132" s="10" t="inlineStr">
        <is>
          <t>Menu et accès interdit</t>
        </is>
      </c>
      <c r="E132" s="10" t="inlineStr"/>
      <c r="F132" s="10" t="inlineStr">
        <is>
          <t>Vérifier le menu ; saisir l'URL d'un écran d'un autre profil</t>
        </is>
      </c>
      <c r="G132" s="10" t="inlineStr">
        <is>
          <t>Menu limité au profil ; écran étranger refusé</t>
        </is>
      </c>
      <c r="H132" s="11" t="n"/>
      <c r="I132" s="12" t="n"/>
      <c r="J132" s="11" t="n"/>
      <c r="K132" s="11" t="n"/>
      <c r="L132" s="11" t="n"/>
    </row>
    <row r="133">
      <c r="A133" s="10" t="inlineStr">
        <is>
          <t>Bout en bout</t>
        </is>
      </c>
      <c r="B133" s="10" t="inlineStr">
        <is>
          <t>E2E-01</t>
        </is>
      </c>
      <c r="C133" s="10" t="inlineStr">
        <is>
          <t>Plusieurs</t>
        </is>
      </c>
      <c r="D133" s="10" t="inlineStr">
        <is>
          <t>Import complet</t>
        </is>
      </c>
      <c r="E133" s="10" t="inlineStr"/>
      <c r="F133" s="10" t="inlineStr">
        <is>
          <t>R02 soumet → R05 Manifeste → R06 Contrôle doc → R07 Facturation → R08 Paiement → R09 Lettrage → R02 consulte le dossier clôturé</t>
        </is>
      </c>
      <c r="G133" s="10" t="inlineStr">
        <is>
          <t>Chaque passage notifié, horodaté, visible dans la chronologie client et le journal d'audit ; SLA respecté</t>
        </is>
      </c>
      <c r="H133" s="11" t="n"/>
      <c r="I133" s="12" t="n"/>
      <c r="J133" s="11" t="n"/>
      <c r="K133" s="11" t="n"/>
      <c r="L133" s="11" t="n"/>
    </row>
    <row r="134">
      <c r="A134" s="10" t="inlineStr">
        <is>
          <t>Bout en bout</t>
        </is>
      </c>
      <c r="B134" s="10" t="inlineStr">
        <is>
          <t>E2E-02</t>
        </is>
      </c>
      <c r="C134" s="10" t="inlineStr">
        <is>
          <t>Plusieurs</t>
        </is>
      </c>
      <c r="D134" s="10" t="inlineStr">
        <is>
          <t>Export complet</t>
        </is>
      </c>
      <c r="E134" s="10" t="inlineStr"/>
      <c r="F134" s="10" t="inlineStr">
        <is>
          <t>R02 soumet → R11 Back Office → R06 Contrôle doc → R07 Facturation → R08 Paiement → R09 Lettrage</t>
        </is>
      </c>
      <c r="G134" s="10" t="inlineStr">
        <is>
          <t>Mêmes attendus que l'Import</t>
        </is>
      </c>
      <c r="H134" s="11" t="n"/>
      <c r="I134" s="12" t="n"/>
      <c r="J134" s="11" t="n"/>
      <c r="K134" s="11" t="n"/>
      <c r="L134" s="11" t="n"/>
    </row>
    <row r="135">
      <c r="A135" s="10" t="inlineStr">
        <is>
          <t>Bout en bout</t>
        </is>
      </c>
      <c r="B135" s="10" t="inlineStr">
        <is>
          <t>E2E-03</t>
        </is>
      </c>
      <c r="C135" s="10" t="inlineStr">
        <is>
          <t>Plusieurs</t>
        </is>
      </c>
      <c r="D135" s="10" t="inlineStr">
        <is>
          <t>Complément client</t>
        </is>
      </c>
      <c r="E135" s="10" t="inlineStr"/>
      <c r="F135" s="10" t="inlineStr">
        <is>
          <t>R05 demande un complément → R02 répond avec une pièce → R05 reprend</t>
        </is>
      </c>
      <c r="G135" s="10" t="inlineStr">
        <is>
          <t>SLA suspendu puis repris ; pièce visible en aperçu</t>
        </is>
      </c>
      <c r="H135" s="11" t="n"/>
      <c r="I135" s="12" t="n"/>
      <c r="J135" s="11" t="n"/>
      <c r="K135" s="11" t="n"/>
      <c r="L135" s="11" t="n"/>
    </row>
    <row r="136">
      <c r="A136" s="10" t="inlineStr">
        <is>
          <t>Bout en bout</t>
        </is>
      </c>
      <c r="B136" s="10" t="inlineStr">
        <is>
          <t>E2E-04</t>
        </is>
      </c>
      <c r="C136" s="10" t="inlineStr">
        <is>
          <t>Plusieurs</t>
        </is>
      </c>
      <c r="D136" s="10" t="inlineStr">
        <is>
          <t>Enrôlement transporteur</t>
        </is>
      </c>
      <c r="E136" s="10" t="inlineStr"/>
      <c r="F136" s="10" t="inlineStr">
        <is>
          <t>R01 s'inscrit → R18 valide le compte → R04 soumet l'enrôlement → R14 instruit, convoque, remet le badge</t>
        </is>
      </c>
      <c r="G136" s="10" t="inlineStr">
        <is>
          <t>Transporteur enrôlé ; chaque étape notifiée</t>
        </is>
      </c>
      <c r="H136" s="11" t="n"/>
      <c r="I136" s="12" t="n"/>
      <c r="J136" s="11" t="n"/>
      <c r="K136" s="11" t="n"/>
      <c r="L136" s="11" t="n"/>
    </row>
    <row r="137">
      <c r="A137" s="10" t="inlineStr">
        <is>
          <t>Bout en bout</t>
        </is>
      </c>
      <c r="B137" s="10" t="inlineStr">
        <is>
          <t>E2E-05</t>
        </is>
      </c>
      <c r="C137" s="10" t="inlineStr">
        <is>
          <t>Plusieurs</t>
        </is>
      </c>
      <c r="D137" s="10" t="inlineStr">
        <is>
          <t>Réclamation puis avoir</t>
        </is>
      </c>
      <c r="E137" s="10" t="inlineStr"/>
      <c r="F137" s="10" t="inlineStr">
        <is>
          <t>R02 réclame → R13 répond → R02 demande un avoir → R15 instruit et accorde</t>
        </is>
      </c>
      <c r="G137" s="10" t="inlineStr">
        <is>
          <t>Décision notifiée et tracée</t>
        </is>
      </c>
      <c r="H137" s="11" t="n"/>
      <c r="I137" s="12" t="n"/>
      <c r="J137" s="11" t="n"/>
      <c r="K137" s="11" t="n"/>
      <c r="L137" s="11" t="n"/>
    </row>
    <row r="138">
      <c r="A138" s="10" t="inlineStr">
        <is>
          <t>Bout en bout</t>
        </is>
      </c>
      <c r="B138" s="10" t="inlineStr">
        <is>
          <t>E2E-06</t>
        </is>
      </c>
      <c r="C138" s="10" t="inlineStr">
        <is>
          <t>Plusieurs</t>
        </is>
      </c>
      <c r="D138" s="10" t="inlineStr">
        <is>
          <t>Rendez-vous guichet</t>
        </is>
      </c>
      <c r="E138" s="10" t="inlineStr"/>
      <c r="F138" s="10" t="inlineStr">
        <is>
          <t>R02 réserve → R12 voit le rendez-vous dans l'agenda (Jour / Semaine / Mois) → R12 constate la présence</t>
        </is>
      </c>
      <c r="G138" s="10" t="inlineStr">
        <is>
          <t>Statut Honoré ; client notifié</t>
        </is>
      </c>
      <c r="H138" s="11" t="n"/>
      <c r="I138" s="12" t="n"/>
      <c r="J138" s="11" t="n"/>
      <c r="K138" s="11" t="n"/>
      <c r="L138" s="11" t="n"/>
    </row>
    <row r="139">
      <c r="A139" s="10" t="inlineStr">
        <is>
          <t>Bout en bout</t>
        </is>
      </c>
      <c r="B139" s="10" t="inlineStr">
        <is>
          <t>E2E-07</t>
        </is>
      </c>
      <c r="C139" s="10" t="inlineStr">
        <is>
          <t>Plusieurs</t>
        </is>
      </c>
      <c r="D139" s="10" t="inlineStr">
        <is>
          <t>Incident technique</t>
        </is>
      </c>
      <c r="E139" s="10" t="inlineStr"/>
      <c r="F139" s="10" t="inlineStr">
        <is>
          <t>R02 signale → R17 N1 diagnostique → escalade N2 → N2 résout</t>
        </is>
      </c>
      <c r="G139" s="10" t="inlineStr">
        <is>
          <t>Déclarant notifié à chaque étape ; SLA mesuré</t>
        </is>
      </c>
      <c r="H139" s="11" t="n"/>
      <c r="I139" s="12" t="n"/>
      <c r="J139" s="11" t="n"/>
      <c r="K139" s="11" t="n"/>
      <c r="L139" s="11" t="n"/>
    </row>
    <row r="140">
      <c r="A140" s="10" t="inlineStr">
        <is>
          <t>Bout en bout</t>
        </is>
      </c>
      <c r="B140" s="10" t="inlineStr">
        <is>
          <t>E2E-08</t>
        </is>
      </c>
      <c r="C140" s="10" t="inlineStr">
        <is>
          <t>Plusieurs</t>
        </is>
      </c>
      <c r="D140" s="10" t="inlineStr">
        <is>
          <t>Nouvel agent</t>
        </is>
      </c>
      <c r="E140" s="10" t="inlineStr"/>
      <c r="F140" s="10" t="inlineStr">
        <is>
          <t>R18 crée l'agent → première connexion avec 2FA obligatoire → l'agent ne voit que ses écrans</t>
        </is>
      </c>
      <c r="G140" s="10" t="inlineStr">
        <is>
          <t>Aucun écran hors permissions ; accès direct par URL refusé</t>
        </is>
      </c>
      <c r="H140" s="11" t="n"/>
      <c r="I140" s="12" t="n"/>
      <c r="J140" s="11" t="n"/>
      <c r="K140" s="11" t="n"/>
      <c r="L140" s="11" t="n"/>
    </row>
  </sheetData>
  <autoFilter ref="A1:L140"/>
  <conditionalFormatting sqref="J2:J140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"NT"</formula>
    </cfRule>
  </conditionalFormatting>
  <dataValidations count="1">
    <dataValidation sqref="J2:J140" showDropDown="0" showInputMessage="0" showErrorMessage="0" allowBlank="1" type="list">
      <formula1>"OK,KO,Bloqué,NT"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6" customWidth="1" min="4" max="4"/>
    <col width="12" customWidth="1" min="5" max="5"/>
    <col width="30" customWidth="1" min="6" max="6"/>
    <col width="45" customWidth="1" min="7" max="7"/>
    <col width="30" customWidth="1" min="8" max="8"/>
    <col width="30" customWidth="1" min="9" max="9"/>
    <col width="15" customWidth="1" min="10" max="10"/>
    <col width="13" customWidth="1" min="11" max="11"/>
    <col width="12" customWidth="1" min="12" max="12"/>
  </cols>
  <sheetData>
    <row r="1">
      <c r="A1" s="9" t="inlineStr">
        <is>
          <t>N° anomalie</t>
        </is>
      </c>
      <c r="B1" s="9" t="inlineStr">
        <is>
          <t>Cas de test</t>
        </is>
      </c>
      <c r="C1" s="9" t="inlineStr">
        <is>
          <t>Date constat</t>
        </is>
      </c>
      <c r="D1" s="9" t="inlineStr">
        <is>
          <t>Testeur</t>
        </is>
      </c>
      <c r="E1" s="9" t="inlineStr">
        <is>
          <t>Sévérité</t>
        </is>
      </c>
      <c r="F1" s="9" t="inlineStr">
        <is>
          <t>URL</t>
        </is>
      </c>
      <c r="G1" s="9" t="inlineStr">
        <is>
          <t>Étapes pour reproduire</t>
        </is>
      </c>
      <c r="H1" s="9" t="inlineStr">
        <is>
          <t>Résultat attendu</t>
        </is>
      </c>
      <c r="I1" s="9" t="inlineStr">
        <is>
          <t>Résultat obtenu</t>
        </is>
      </c>
      <c r="J1" s="9" t="inlineStr">
        <is>
          <t>Statut</t>
        </is>
      </c>
      <c r="K1" s="9" t="inlineStr">
        <is>
          <t>Date re-test</t>
        </is>
      </c>
      <c r="L1" s="9" t="inlineStr">
        <is>
          <t>Re-test OK ?</t>
        </is>
      </c>
    </row>
    <row r="2">
      <c r="A2" s="11" t="n"/>
      <c r="B2" s="11" t="n"/>
      <c r="C2" s="13" t="n"/>
      <c r="D2" s="11" t="n"/>
      <c r="E2" s="11" t="n"/>
      <c r="F2" s="11" t="n"/>
      <c r="G2" s="11" t="n"/>
      <c r="H2" s="11" t="n"/>
      <c r="I2" s="11" t="n"/>
      <c r="J2" s="11" t="n"/>
      <c r="K2" s="12" t="n"/>
      <c r="L2" s="11" t="n"/>
    </row>
    <row r="3">
      <c r="A3" s="11" t="n"/>
      <c r="B3" s="11" t="n"/>
      <c r="C3" s="13" t="n"/>
      <c r="D3" s="11" t="n"/>
      <c r="E3" s="11" t="n"/>
      <c r="F3" s="11" t="n"/>
      <c r="G3" s="11" t="n"/>
      <c r="H3" s="11" t="n"/>
      <c r="I3" s="11" t="n"/>
      <c r="J3" s="11" t="n"/>
      <c r="K3" s="12" t="n"/>
      <c r="L3" s="11" t="n"/>
    </row>
    <row r="4">
      <c r="A4" s="11" t="n"/>
      <c r="B4" s="11" t="n"/>
      <c r="C4" s="13" t="n"/>
      <c r="D4" s="11" t="n"/>
      <c r="E4" s="11" t="n"/>
      <c r="F4" s="11" t="n"/>
      <c r="G4" s="11" t="n"/>
      <c r="H4" s="11" t="n"/>
      <c r="I4" s="11" t="n"/>
      <c r="J4" s="11" t="n"/>
      <c r="K4" s="12" t="n"/>
      <c r="L4" s="11" t="n"/>
    </row>
    <row r="5">
      <c r="A5" s="11" t="n"/>
      <c r="B5" s="11" t="n"/>
      <c r="C5" s="13" t="n"/>
      <c r="D5" s="11" t="n"/>
      <c r="E5" s="11" t="n"/>
      <c r="F5" s="11" t="n"/>
      <c r="G5" s="11" t="n"/>
      <c r="H5" s="11" t="n"/>
      <c r="I5" s="11" t="n"/>
      <c r="J5" s="11" t="n"/>
      <c r="K5" s="12" t="n"/>
      <c r="L5" s="11" t="n"/>
    </row>
    <row r="6">
      <c r="A6" s="11" t="n"/>
      <c r="B6" s="11" t="n"/>
      <c r="C6" s="13" t="n"/>
      <c r="D6" s="11" t="n"/>
      <c r="E6" s="11" t="n"/>
      <c r="F6" s="11" t="n"/>
      <c r="G6" s="11" t="n"/>
      <c r="H6" s="11" t="n"/>
      <c r="I6" s="11" t="n"/>
      <c r="J6" s="11" t="n"/>
      <c r="K6" s="12" t="n"/>
      <c r="L6" s="11" t="n"/>
    </row>
    <row r="7">
      <c r="A7" s="11" t="n"/>
      <c r="B7" s="11" t="n"/>
      <c r="C7" s="13" t="n"/>
      <c r="D7" s="11" t="n"/>
      <c r="E7" s="11" t="n"/>
      <c r="F7" s="11" t="n"/>
      <c r="G7" s="11" t="n"/>
      <c r="H7" s="11" t="n"/>
      <c r="I7" s="11" t="n"/>
      <c r="J7" s="11" t="n"/>
      <c r="K7" s="12" t="n"/>
      <c r="L7" s="11" t="n"/>
    </row>
    <row r="8">
      <c r="A8" s="11" t="n"/>
      <c r="B8" s="11" t="n"/>
      <c r="C8" s="13" t="n"/>
      <c r="D8" s="11" t="n"/>
      <c r="E8" s="11" t="n"/>
      <c r="F8" s="11" t="n"/>
      <c r="G8" s="11" t="n"/>
      <c r="H8" s="11" t="n"/>
      <c r="I8" s="11" t="n"/>
      <c r="J8" s="11" t="n"/>
      <c r="K8" s="12" t="n"/>
      <c r="L8" s="11" t="n"/>
    </row>
    <row r="9">
      <c r="A9" s="11" t="n"/>
      <c r="B9" s="11" t="n"/>
      <c r="C9" s="13" t="n"/>
      <c r="D9" s="11" t="n"/>
      <c r="E9" s="11" t="n"/>
      <c r="F9" s="11" t="n"/>
      <c r="G9" s="11" t="n"/>
      <c r="H9" s="11" t="n"/>
      <c r="I9" s="11" t="n"/>
      <c r="J9" s="11" t="n"/>
      <c r="K9" s="12" t="n"/>
      <c r="L9" s="11" t="n"/>
    </row>
    <row r="10">
      <c r="A10" s="11" t="n"/>
      <c r="B10" s="11" t="n"/>
      <c r="C10" s="13" t="n"/>
      <c r="D10" s="11" t="n"/>
      <c r="E10" s="11" t="n"/>
      <c r="F10" s="11" t="n"/>
      <c r="G10" s="11" t="n"/>
      <c r="H10" s="11" t="n"/>
      <c r="I10" s="11" t="n"/>
      <c r="J10" s="11" t="n"/>
      <c r="K10" s="12" t="n"/>
      <c r="L10" s="11" t="n"/>
    </row>
    <row r="11">
      <c r="A11" s="11" t="n"/>
      <c r="B11" s="11" t="n"/>
      <c r="C11" s="13" t="n"/>
      <c r="D11" s="11" t="n"/>
      <c r="E11" s="11" t="n"/>
      <c r="F11" s="11" t="n"/>
      <c r="G11" s="11" t="n"/>
      <c r="H11" s="11" t="n"/>
      <c r="I11" s="11" t="n"/>
      <c r="J11" s="11" t="n"/>
      <c r="K11" s="12" t="n"/>
      <c r="L11" s="11" t="n"/>
    </row>
    <row r="12">
      <c r="A12" s="11" t="n"/>
      <c r="B12" s="11" t="n"/>
      <c r="C12" s="13" t="n"/>
      <c r="D12" s="11" t="n"/>
      <c r="E12" s="11" t="n"/>
      <c r="F12" s="11" t="n"/>
      <c r="G12" s="11" t="n"/>
      <c r="H12" s="11" t="n"/>
      <c r="I12" s="11" t="n"/>
      <c r="J12" s="11" t="n"/>
      <c r="K12" s="12" t="n"/>
      <c r="L12" s="11" t="n"/>
    </row>
    <row r="13">
      <c r="A13" s="11" t="n"/>
      <c r="B13" s="11" t="n"/>
      <c r="C13" s="13" t="n"/>
      <c r="D13" s="11" t="n"/>
      <c r="E13" s="11" t="n"/>
      <c r="F13" s="11" t="n"/>
      <c r="G13" s="11" t="n"/>
      <c r="H13" s="11" t="n"/>
      <c r="I13" s="11" t="n"/>
      <c r="J13" s="11" t="n"/>
      <c r="K13" s="12" t="n"/>
      <c r="L13" s="11" t="n"/>
    </row>
    <row r="14">
      <c r="A14" s="11" t="n"/>
      <c r="B14" s="11" t="n"/>
      <c r="C14" s="13" t="n"/>
      <c r="D14" s="11" t="n"/>
      <c r="E14" s="11" t="n"/>
      <c r="F14" s="11" t="n"/>
      <c r="G14" s="11" t="n"/>
      <c r="H14" s="11" t="n"/>
      <c r="I14" s="11" t="n"/>
      <c r="J14" s="11" t="n"/>
      <c r="K14" s="12" t="n"/>
      <c r="L14" s="11" t="n"/>
    </row>
    <row r="15">
      <c r="A15" s="11" t="n"/>
      <c r="B15" s="11" t="n"/>
      <c r="C15" s="13" t="n"/>
      <c r="D15" s="11" t="n"/>
      <c r="E15" s="11" t="n"/>
      <c r="F15" s="11" t="n"/>
      <c r="G15" s="11" t="n"/>
      <c r="H15" s="11" t="n"/>
      <c r="I15" s="11" t="n"/>
      <c r="J15" s="11" t="n"/>
      <c r="K15" s="12" t="n"/>
      <c r="L15" s="11" t="n"/>
    </row>
    <row r="16">
      <c r="A16" s="11" t="n"/>
      <c r="B16" s="11" t="n"/>
      <c r="C16" s="13" t="n"/>
      <c r="D16" s="11" t="n"/>
      <c r="E16" s="11" t="n"/>
      <c r="F16" s="11" t="n"/>
      <c r="G16" s="11" t="n"/>
      <c r="H16" s="11" t="n"/>
      <c r="I16" s="11" t="n"/>
      <c r="J16" s="11" t="n"/>
      <c r="K16" s="12" t="n"/>
      <c r="L16" s="11" t="n"/>
    </row>
    <row r="17">
      <c r="A17" s="11" t="n"/>
      <c r="B17" s="11" t="n"/>
      <c r="C17" s="13" t="n"/>
      <c r="D17" s="11" t="n"/>
      <c r="E17" s="11" t="n"/>
      <c r="F17" s="11" t="n"/>
      <c r="G17" s="11" t="n"/>
      <c r="H17" s="11" t="n"/>
      <c r="I17" s="11" t="n"/>
      <c r="J17" s="11" t="n"/>
      <c r="K17" s="12" t="n"/>
      <c r="L17" s="11" t="n"/>
    </row>
    <row r="18">
      <c r="A18" s="11" t="n"/>
      <c r="B18" s="11" t="n"/>
      <c r="C18" s="13" t="n"/>
      <c r="D18" s="11" t="n"/>
      <c r="E18" s="11" t="n"/>
      <c r="F18" s="11" t="n"/>
      <c r="G18" s="11" t="n"/>
      <c r="H18" s="11" t="n"/>
      <c r="I18" s="11" t="n"/>
      <c r="J18" s="11" t="n"/>
      <c r="K18" s="12" t="n"/>
      <c r="L18" s="11" t="n"/>
    </row>
    <row r="19">
      <c r="A19" s="11" t="n"/>
      <c r="B19" s="11" t="n"/>
      <c r="C19" s="13" t="n"/>
      <c r="D19" s="11" t="n"/>
      <c r="E19" s="11" t="n"/>
      <c r="F19" s="11" t="n"/>
      <c r="G19" s="11" t="n"/>
      <c r="H19" s="11" t="n"/>
      <c r="I19" s="11" t="n"/>
      <c r="J19" s="11" t="n"/>
      <c r="K19" s="12" t="n"/>
      <c r="L19" s="11" t="n"/>
    </row>
    <row r="20">
      <c r="A20" s="11" t="n"/>
      <c r="B20" s="11" t="n"/>
      <c r="C20" s="13" t="n"/>
      <c r="D20" s="11" t="n"/>
      <c r="E20" s="11" t="n"/>
      <c r="F20" s="11" t="n"/>
      <c r="G20" s="11" t="n"/>
      <c r="H20" s="11" t="n"/>
      <c r="I20" s="11" t="n"/>
      <c r="J20" s="11" t="n"/>
      <c r="K20" s="12" t="n"/>
      <c r="L20" s="11" t="n"/>
    </row>
    <row r="21">
      <c r="A21" s="11" t="n"/>
      <c r="B21" s="11" t="n"/>
      <c r="C21" s="13" t="n"/>
      <c r="D21" s="11" t="n"/>
      <c r="E21" s="11" t="n"/>
      <c r="F21" s="11" t="n"/>
      <c r="G21" s="11" t="n"/>
      <c r="H21" s="11" t="n"/>
      <c r="I21" s="11" t="n"/>
      <c r="J21" s="11" t="n"/>
      <c r="K21" s="12" t="n"/>
      <c r="L21" s="11" t="n"/>
    </row>
    <row r="22">
      <c r="A22" s="11" t="n"/>
      <c r="B22" s="11" t="n"/>
      <c r="C22" s="13" t="n"/>
      <c r="D22" s="11" t="n"/>
      <c r="E22" s="11" t="n"/>
      <c r="F22" s="11" t="n"/>
      <c r="G22" s="11" t="n"/>
      <c r="H22" s="11" t="n"/>
      <c r="I22" s="11" t="n"/>
      <c r="J22" s="11" t="n"/>
      <c r="K22" s="12" t="n"/>
      <c r="L22" s="11" t="n"/>
    </row>
    <row r="23">
      <c r="A23" s="11" t="n"/>
      <c r="B23" s="11" t="n"/>
      <c r="C23" s="13" t="n"/>
      <c r="D23" s="11" t="n"/>
      <c r="E23" s="11" t="n"/>
      <c r="F23" s="11" t="n"/>
      <c r="G23" s="11" t="n"/>
      <c r="H23" s="11" t="n"/>
      <c r="I23" s="11" t="n"/>
      <c r="J23" s="11" t="n"/>
      <c r="K23" s="12" t="n"/>
      <c r="L23" s="11" t="n"/>
    </row>
    <row r="24">
      <c r="A24" s="11" t="n"/>
      <c r="B24" s="11" t="n"/>
      <c r="C24" s="13" t="n"/>
      <c r="D24" s="11" t="n"/>
      <c r="E24" s="11" t="n"/>
      <c r="F24" s="11" t="n"/>
      <c r="G24" s="11" t="n"/>
      <c r="H24" s="11" t="n"/>
      <c r="I24" s="11" t="n"/>
      <c r="J24" s="11" t="n"/>
      <c r="K24" s="12" t="n"/>
      <c r="L24" s="11" t="n"/>
    </row>
    <row r="25">
      <c r="A25" s="11" t="n"/>
      <c r="B25" s="11" t="n"/>
      <c r="C25" s="13" t="n"/>
      <c r="D25" s="11" t="n"/>
      <c r="E25" s="11" t="n"/>
      <c r="F25" s="11" t="n"/>
      <c r="G25" s="11" t="n"/>
      <c r="H25" s="11" t="n"/>
      <c r="I25" s="11" t="n"/>
      <c r="J25" s="11" t="n"/>
      <c r="K25" s="12" t="n"/>
      <c r="L25" s="11" t="n"/>
    </row>
    <row r="26">
      <c r="A26" s="11" t="n"/>
      <c r="B26" s="11" t="n"/>
      <c r="C26" s="13" t="n"/>
      <c r="D26" s="11" t="n"/>
      <c r="E26" s="11" t="n"/>
      <c r="F26" s="11" t="n"/>
      <c r="G26" s="11" t="n"/>
      <c r="H26" s="11" t="n"/>
      <c r="I26" s="11" t="n"/>
      <c r="J26" s="11" t="n"/>
      <c r="K26" s="12" t="n"/>
      <c r="L26" s="11" t="n"/>
    </row>
    <row r="27">
      <c r="A27" s="11" t="n"/>
      <c r="B27" s="11" t="n"/>
      <c r="C27" s="13" t="n"/>
      <c r="D27" s="11" t="n"/>
      <c r="E27" s="11" t="n"/>
      <c r="F27" s="11" t="n"/>
      <c r="G27" s="11" t="n"/>
      <c r="H27" s="11" t="n"/>
      <c r="I27" s="11" t="n"/>
      <c r="J27" s="11" t="n"/>
      <c r="K27" s="12" t="n"/>
      <c r="L27" s="11" t="n"/>
    </row>
    <row r="28">
      <c r="A28" s="11" t="n"/>
      <c r="B28" s="11" t="n"/>
      <c r="C28" s="13" t="n"/>
      <c r="D28" s="11" t="n"/>
      <c r="E28" s="11" t="n"/>
      <c r="F28" s="11" t="n"/>
      <c r="G28" s="11" t="n"/>
      <c r="H28" s="11" t="n"/>
      <c r="I28" s="11" t="n"/>
      <c r="J28" s="11" t="n"/>
      <c r="K28" s="12" t="n"/>
      <c r="L28" s="11" t="n"/>
    </row>
    <row r="29">
      <c r="A29" s="11" t="n"/>
      <c r="B29" s="11" t="n"/>
      <c r="C29" s="13" t="n"/>
      <c r="D29" s="11" t="n"/>
      <c r="E29" s="11" t="n"/>
      <c r="F29" s="11" t="n"/>
      <c r="G29" s="11" t="n"/>
      <c r="H29" s="11" t="n"/>
      <c r="I29" s="11" t="n"/>
      <c r="J29" s="11" t="n"/>
      <c r="K29" s="12" t="n"/>
      <c r="L29" s="11" t="n"/>
    </row>
    <row r="30">
      <c r="A30" s="11" t="n"/>
      <c r="B30" s="11" t="n"/>
      <c r="C30" s="13" t="n"/>
      <c r="D30" s="11" t="n"/>
      <c r="E30" s="11" t="n"/>
      <c r="F30" s="11" t="n"/>
      <c r="G30" s="11" t="n"/>
      <c r="H30" s="11" t="n"/>
      <c r="I30" s="11" t="n"/>
      <c r="J30" s="11" t="n"/>
      <c r="K30" s="12" t="n"/>
      <c r="L30" s="11" t="n"/>
    </row>
    <row r="31">
      <c r="A31" s="11" t="n"/>
      <c r="B31" s="11" t="n"/>
      <c r="C31" s="13" t="n"/>
      <c r="D31" s="11" t="n"/>
      <c r="E31" s="11" t="n"/>
      <c r="F31" s="11" t="n"/>
      <c r="G31" s="11" t="n"/>
      <c r="H31" s="11" t="n"/>
      <c r="I31" s="11" t="n"/>
      <c r="J31" s="11" t="n"/>
      <c r="K31" s="12" t="n"/>
      <c r="L31" s="11" t="n"/>
    </row>
    <row r="32">
      <c r="A32" s="11" t="n"/>
      <c r="B32" s="11" t="n"/>
      <c r="C32" s="13" t="n"/>
      <c r="D32" s="11" t="n"/>
      <c r="E32" s="11" t="n"/>
      <c r="F32" s="11" t="n"/>
      <c r="G32" s="11" t="n"/>
      <c r="H32" s="11" t="n"/>
      <c r="I32" s="11" t="n"/>
      <c r="J32" s="11" t="n"/>
      <c r="K32" s="12" t="n"/>
      <c r="L32" s="11" t="n"/>
    </row>
    <row r="33">
      <c r="A33" s="11" t="n"/>
      <c r="B33" s="11" t="n"/>
      <c r="C33" s="13" t="n"/>
      <c r="D33" s="11" t="n"/>
      <c r="E33" s="11" t="n"/>
      <c r="F33" s="11" t="n"/>
      <c r="G33" s="11" t="n"/>
      <c r="H33" s="11" t="n"/>
      <c r="I33" s="11" t="n"/>
      <c r="J33" s="11" t="n"/>
      <c r="K33" s="12" t="n"/>
      <c r="L33" s="11" t="n"/>
    </row>
    <row r="34">
      <c r="A34" s="11" t="n"/>
      <c r="B34" s="11" t="n"/>
      <c r="C34" s="13" t="n"/>
      <c r="D34" s="11" t="n"/>
      <c r="E34" s="11" t="n"/>
      <c r="F34" s="11" t="n"/>
      <c r="G34" s="11" t="n"/>
      <c r="H34" s="11" t="n"/>
      <c r="I34" s="11" t="n"/>
      <c r="J34" s="11" t="n"/>
      <c r="K34" s="12" t="n"/>
      <c r="L34" s="11" t="n"/>
    </row>
    <row r="35">
      <c r="A35" s="11" t="n"/>
      <c r="B35" s="11" t="n"/>
      <c r="C35" s="13" t="n"/>
      <c r="D35" s="11" t="n"/>
      <c r="E35" s="11" t="n"/>
      <c r="F35" s="11" t="n"/>
      <c r="G35" s="11" t="n"/>
      <c r="H35" s="11" t="n"/>
      <c r="I35" s="11" t="n"/>
      <c r="J35" s="11" t="n"/>
      <c r="K35" s="12" t="n"/>
      <c r="L35" s="11" t="n"/>
    </row>
    <row r="36">
      <c r="A36" s="11" t="n"/>
      <c r="B36" s="11" t="n"/>
      <c r="C36" s="13" t="n"/>
      <c r="D36" s="11" t="n"/>
      <c r="E36" s="11" t="n"/>
      <c r="F36" s="11" t="n"/>
      <c r="G36" s="11" t="n"/>
      <c r="H36" s="11" t="n"/>
      <c r="I36" s="11" t="n"/>
      <c r="J36" s="11" t="n"/>
      <c r="K36" s="12" t="n"/>
      <c r="L36" s="11" t="n"/>
    </row>
    <row r="37">
      <c r="A37" s="11" t="n"/>
      <c r="B37" s="11" t="n"/>
      <c r="C37" s="13" t="n"/>
      <c r="D37" s="11" t="n"/>
      <c r="E37" s="11" t="n"/>
      <c r="F37" s="11" t="n"/>
      <c r="G37" s="11" t="n"/>
      <c r="H37" s="11" t="n"/>
      <c r="I37" s="11" t="n"/>
      <c r="J37" s="11" t="n"/>
      <c r="K37" s="12" t="n"/>
      <c r="L37" s="11" t="n"/>
    </row>
    <row r="38">
      <c r="A38" s="11" t="n"/>
      <c r="B38" s="11" t="n"/>
      <c r="C38" s="13" t="n"/>
      <c r="D38" s="11" t="n"/>
      <c r="E38" s="11" t="n"/>
      <c r="F38" s="11" t="n"/>
      <c r="G38" s="11" t="n"/>
      <c r="H38" s="11" t="n"/>
      <c r="I38" s="11" t="n"/>
      <c r="J38" s="11" t="n"/>
      <c r="K38" s="12" t="n"/>
      <c r="L38" s="11" t="n"/>
    </row>
    <row r="39">
      <c r="A39" s="11" t="n"/>
      <c r="B39" s="11" t="n"/>
      <c r="C39" s="13" t="n"/>
      <c r="D39" s="11" t="n"/>
      <c r="E39" s="11" t="n"/>
      <c r="F39" s="11" t="n"/>
      <c r="G39" s="11" t="n"/>
      <c r="H39" s="11" t="n"/>
      <c r="I39" s="11" t="n"/>
      <c r="J39" s="11" t="n"/>
      <c r="K39" s="12" t="n"/>
      <c r="L39" s="11" t="n"/>
    </row>
    <row r="40">
      <c r="A40" s="11" t="n"/>
      <c r="B40" s="11" t="n"/>
      <c r="C40" s="13" t="n"/>
      <c r="D40" s="11" t="n"/>
      <c r="E40" s="11" t="n"/>
      <c r="F40" s="11" t="n"/>
      <c r="G40" s="11" t="n"/>
      <c r="H40" s="11" t="n"/>
      <c r="I40" s="11" t="n"/>
      <c r="J40" s="11" t="n"/>
      <c r="K40" s="12" t="n"/>
      <c r="L40" s="11" t="n"/>
    </row>
    <row r="41">
      <c r="A41" s="11" t="n"/>
      <c r="B41" s="11" t="n"/>
      <c r="C41" s="13" t="n"/>
      <c r="D41" s="11" t="n"/>
      <c r="E41" s="11" t="n"/>
      <c r="F41" s="11" t="n"/>
      <c r="G41" s="11" t="n"/>
      <c r="H41" s="11" t="n"/>
      <c r="I41" s="11" t="n"/>
      <c r="J41" s="11" t="n"/>
      <c r="K41" s="12" t="n"/>
      <c r="L41" s="11" t="n"/>
    </row>
    <row r="42">
      <c r="A42" s="11" t="n"/>
      <c r="B42" s="11" t="n"/>
      <c r="C42" s="13" t="n"/>
      <c r="D42" s="11" t="n"/>
      <c r="E42" s="11" t="n"/>
      <c r="F42" s="11" t="n"/>
      <c r="G42" s="11" t="n"/>
      <c r="H42" s="11" t="n"/>
      <c r="I42" s="11" t="n"/>
      <c r="J42" s="11" t="n"/>
      <c r="K42" s="12" t="n"/>
      <c r="L42" s="11" t="n"/>
    </row>
    <row r="43">
      <c r="A43" s="11" t="n"/>
      <c r="B43" s="11" t="n"/>
      <c r="C43" s="13" t="n"/>
      <c r="D43" s="11" t="n"/>
      <c r="E43" s="11" t="n"/>
      <c r="F43" s="11" t="n"/>
      <c r="G43" s="11" t="n"/>
      <c r="H43" s="11" t="n"/>
      <c r="I43" s="11" t="n"/>
      <c r="J43" s="11" t="n"/>
      <c r="K43" s="12" t="n"/>
      <c r="L43" s="11" t="n"/>
    </row>
    <row r="44">
      <c r="A44" s="11" t="n"/>
      <c r="B44" s="11" t="n"/>
      <c r="C44" s="13" t="n"/>
      <c r="D44" s="11" t="n"/>
      <c r="E44" s="11" t="n"/>
      <c r="F44" s="11" t="n"/>
      <c r="G44" s="11" t="n"/>
      <c r="H44" s="11" t="n"/>
      <c r="I44" s="11" t="n"/>
      <c r="J44" s="11" t="n"/>
      <c r="K44" s="12" t="n"/>
      <c r="L44" s="11" t="n"/>
    </row>
    <row r="45">
      <c r="A45" s="11" t="n"/>
      <c r="B45" s="11" t="n"/>
      <c r="C45" s="13" t="n"/>
      <c r="D45" s="11" t="n"/>
      <c r="E45" s="11" t="n"/>
      <c r="F45" s="11" t="n"/>
      <c r="G45" s="11" t="n"/>
      <c r="H45" s="11" t="n"/>
      <c r="I45" s="11" t="n"/>
      <c r="J45" s="11" t="n"/>
      <c r="K45" s="12" t="n"/>
      <c r="L45" s="11" t="n"/>
    </row>
    <row r="46">
      <c r="A46" s="11" t="n"/>
      <c r="B46" s="11" t="n"/>
      <c r="C46" s="13" t="n"/>
      <c r="D46" s="11" t="n"/>
      <c r="E46" s="11" t="n"/>
      <c r="F46" s="11" t="n"/>
      <c r="G46" s="11" t="n"/>
      <c r="H46" s="11" t="n"/>
      <c r="I46" s="11" t="n"/>
      <c r="J46" s="11" t="n"/>
      <c r="K46" s="12" t="n"/>
      <c r="L46" s="11" t="n"/>
    </row>
    <row r="47">
      <c r="A47" s="11" t="n"/>
      <c r="B47" s="11" t="n"/>
      <c r="C47" s="13" t="n"/>
      <c r="D47" s="11" t="n"/>
      <c r="E47" s="11" t="n"/>
      <c r="F47" s="11" t="n"/>
      <c r="G47" s="11" t="n"/>
      <c r="H47" s="11" t="n"/>
      <c r="I47" s="11" t="n"/>
      <c r="J47" s="11" t="n"/>
      <c r="K47" s="12" t="n"/>
      <c r="L47" s="11" t="n"/>
    </row>
    <row r="48">
      <c r="A48" s="11" t="n"/>
      <c r="B48" s="11" t="n"/>
      <c r="C48" s="13" t="n"/>
      <c r="D48" s="11" t="n"/>
      <c r="E48" s="11" t="n"/>
      <c r="F48" s="11" t="n"/>
      <c r="G48" s="11" t="n"/>
      <c r="H48" s="11" t="n"/>
      <c r="I48" s="11" t="n"/>
      <c r="J48" s="11" t="n"/>
      <c r="K48" s="12" t="n"/>
      <c r="L48" s="11" t="n"/>
    </row>
    <row r="49">
      <c r="A49" s="11" t="n"/>
      <c r="B49" s="11" t="n"/>
      <c r="C49" s="13" t="n"/>
      <c r="D49" s="11" t="n"/>
      <c r="E49" s="11" t="n"/>
      <c r="F49" s="11" t="n"/>
      <c r="G49" s="11" t="n"/>
      <c r="H49" s="11" t="n"/>
      <c r="I49" s="11" t="n"/>
      <c r="J49" s="11" t="n"/>
      <c r="K49" s="12" t="n"/>
      <c r="L49" s="11" t="n"/>
    </row>
    <row r="50">
      <c r="A50" s="11" t="n"/>
      <c r="B50" s="11" t="n"/>
      <c r="C50" s="13" t="n"/>
      <c r="D50" s="11" t="n"/>
      <c r="E50" s="11" t="n"/>
      <c r="F50" s="11" t="n"/>
      <c r="G50" s="11" t="n"/>
      <c r="H50" s="11" t="n"/>
      <c r="I50" s="11" t="n"/>
      <c r="J50" s="11" t="n"/>
      <c r="K50" s="12" t="n"/>
      <c r="L50" s="11" t="n"/>
    </row>
    <row r="51">
      <c r="A51" s="11" t="n"/>
      <c r="B51" s="11" t="n"/>
      <c r="C51" s="13" t="n"/>
      <c r="D51" s="11" t="n"/>
      <c r="E51" s="11" t="n"/>
      <c r="F51" s="11" t="n"/>
      <c r="G51" s="11" t="n"/>
      <c r="H51" s="11" t="n"/>
      <c r="I51" s="11" t="n"/>
      <c r="J51" s="11" t="n"/>
      <c r="K51" s="12" t="n"/>
      <c r="L51" s="11" t="n"/>
    </row>
    <row r="52">
      <c r="A52" s="11" t="n"/>
      <c r="B52" s="11" t="n"/>
      <c r="C52" s="13" t="n"/>
      <c r="D52" s="11" t="n"/>
      <c r="E52" s="11" t="n"/>
      <c r="F52" s="11" t="n"/>
      <c r="G52" s="11" t="n"/>
      <c r="H52" s="11" t="n"/>
      <c r="I52" s="11" t="n"/>
      <c r="J52" s="11" t="n"/>
      <c r="K52" s="12" t="n"/>
      <c r="L52" s="11" t="n"/>
    </row>
    <row r="53">
      <c r="A53" s="11" t="n"/>
      <c r="B53" s="11" t="n"/>
      <c r="C53" s="13" t="n"/>
      <c r="D53" s="11" t="n"/>
      <c r="E53" s="11" t="n"/>
      <c r="F53" s="11" t="n"/>
      <c r="G53" s="11" t="n"/>
      <c r="H53" s="11" t="n"/>
      <c r="I53" s="11" t="n"/>
      <c r="J53" s="11" t="n"/>
      <c r="K53" s="12" t="n"/>
      <c r="L53" s="11" t="n"/>
    </row>
    <row r="54">
      <c r="A54" s="11" t="n"/>
      <c r="B54" s="11" t="n"/>
      <c r="C54" s="13" t="n"/>
      <c r="D54" s="11" t="n"/>
      <c r="E54" s="11" t="n"/>
      <c r="F54" s="11" t="n"/>
      <c r="G54" s="11" t="n"/>
      <c r="H54" s="11" t="n"/>
      <c r="I54" s="11" t="n"/>
      <c r="J54" s="11" t="n"/>
      <c r="K54" s="12" t="n"/>
      <c r="L54" s="11" t="n"/>
    </row>
    <row r="55">
      <c r="A55" s="11" t="n"/>
      <c r="B55" s="11" t="n"/>
      <c r="C55" s="13" t="n"/>
      <c r="D55" s="11" t="n"/>
      <c r="E55" s="11" t="n"/>
      <c r="F55" s="11" t="n"/>
      <c r="G55" s="11" t="n"/>
      <c r="H55" s="11" t="n"/>
      <c r="I55" s="11" t="n"/>
      <c r="J55" s="11" t="n"/>
      <c r="K55" s="12" t="n"/>
      <c r="L55" s="11" t="n"/>
    </row>
    <row r="56">
      <c r="A56" s="11" t="n"/>
      <c r="B56" s="11" t="n"/>
      <c r="C56" s="13" t="n"/>
      <c r="D56" s="11" t="n"/>
      <c r="E56" s="11" t="n"/>
      <c r="F56" s="11" t="n"/>
      <c r="G56" s="11" t="n"/>
      <c r="H56" s="11" t="n"/>
      <c r="I56" s="11" t="n"/>
      <c r="J56" s="11" t="n"/>
      <c r="K56" s="12" t="n"/>
      <c r="L56" s="11" t="n"/>
    </row>
    <row r="57">
      <c r="A57" s="11" t="n"/>
      <c r="B57" s="11" t="n"/>
      <c r="C57" s="13" t="n"/>
      <c r="D57" s="11" t="n"/>
      <c r="E57" s="11" t="n"/>
      <c r="F57" s="11" t="n"/>
      <c r="G57" s="11" t="n"/>
      <c r="H57" s="11" t="n"/>
      <c r="I57" s="11" t="n"/>
      <c r="J57" s="11" t="n"/>
      <c r="K57" s="12" t="n"/>
      <c r="L57" s="11" t="n"/>
    </row>
    <row r="58">
      <c r="A58" s="11" t="n"/>
      <c r="B58" s="11" t="n"/>
      <c r="C58" s="13" t="n"/>
      <c r="D58" s="11" t="n"/>
      <c r="E58" s="11" t="n"/>
      <c r="F58" s="11" t="n"/>
      <c r="G58" s="11" t="n"/>
      <c r="H58" s="11" t="n"/>
      <c r="I58" s="11" t="n"/>
      <c r="J58" s="11" t="n"/>
      <c r="K58" s="12" t="n"/>
      <c r="L58" s="11" t="n"/>
    </row>
    <row r="59">
      <c r="A59" s="11" t="n"/>
      <c r="B59" s="11" t="n"/>
      <c r="C59" s="13" t="n"/>
      <c r="D59" s="11" t="n"/>
      <c r="E59" s="11" t="n"/>
      <c r="F59" s="11" t="n"/>
      <c r="G59" s="11" t="n"/>
      <c r="H59" s="11" t="n"/>
      <c r="I59" s="11" t="n"/>
      <c r="J59" s="11" t="n"/>
      <c r="K59" s="12" t="n"/>
      <c r="L59" s="11" t="n"/>
    </row>
    <row r="60">
      <c r="A60" s="11" t="n"/>
      <c r="B60" s="11" t="n"/>
      <c r="C60" s="13" t="n"/>
      <c r="D60" s="11" t="n"/>
      <c r="E60" s="11" t="n"/>
      <c r="F60" s="11" t="n"/>
      <c r="G60" s="11" t="n"/>
      <c r="H60" s="11" t="n"/>
      <c r="I60" s="11" t="n"/>
      <c r="J60" s="11" t="n"/>
      <c r="K60" s="12" t="n"/>
      <c r="L60" s="11" t="n"/>
    </row>
    <row r="61">
      <c r="A61" s="11" t="n"/>
      <c r="B61" s="11" t="n"/>
      <c r="C61" s="13" t="n"/>
      <c r="D61" s="11" t="n"/>
      <c r="E61" s="11" t="n"/>
      <c r="F61" s="11" t="n"/>
      <c r="G61" s="11" t="n"/>
      <c r="H61" s="11" t="n"/>
      <c r="I61" s="11" t="n"/>
      <c r="J61" s="11" t="n"/>
      <c r="K61" s="12" t="n"/>
      <c r="L61" s="11" t="n"/>
    </row>
    <row r="62">
      <c r="A62" s="11" t="n"/>
      <c r="B62" s="11" t="n"/>
      <c r="C62" s="13" t="n"/>
      <c r="D62" s="11" t="n"/>
      <c r="E62" s="11" t="n"/>
      <c r="F62" s="11" t="n"/>
      <c r="G62" s="11" t="n"/>
      <c r="H62" s="11" t="n"/>
      <c r="I62" s="11" t="n"/>
      <c r="J62" s="11" t="n"/>
      <c r="K62" s="12" t="n"/>
      <c r="L62" s="11" t="n"/>
    </row>
    <row r="63">
      <c r="A63" s="11" t="n"/>
      <c r="B63" s="11" t="n"/>
      <c r="C63" s="13" t="n"/>
      <c r="D63" s="11" t="n"/>
      <c r="E63" s="11" t="n"/>
      <c r="F63" s="11" t="n"/>
      <c r="G63" s="11" t="n"/>
      <c r="H63" s="11" t="n"/>
      <c r="I63" s="11" t="n"/>
      <c r="J63" s="11" t="n"/>
      <c r="K63" s="12" t="n"/>
      <c r="L63" s="11" t="n"/>
    </row>
    <row r="64">
      <c r="A64" s="11" t="n"/>
      <c r="B64" s="11" t="n"/>
      <c r="C64" s="13" t="n"/>
      <c r="D64" s="11" t="n"/>
      <c r="E64" s="11" t="n"/>
      <c r="F64" s="11" t="n"/>
      <c r="G64" s="11" t="n"/>
      <c r="H64" s="11" t="n"/>
      <c r="I64" s="11" t="n"/>
      <c r="J64" s="11" t="n"/>
      <c r="K64" s="12" t="n"/>
      <c r="L64" s="11" t="n"/>
    </row>
    <row r="65">
      <c r="A65" s="11" t="n"/>
      <c r="B65" s="11" t="n"/>
      <c r="C65" s="13" t="n"/>
      <c r="D65" s="11" t="n"/>
      <c r="E65" s="11" t="n"/>
      <c r="F65" s="11" t="n"/>
      <c r="G65" s="11" t="n"/>
      <c r="H65" s="11" t="n"/>
      <c r="I65" s="11" t="n"/>
      <c r="J65" s="11" t="n"/>
      <c r="K65" s="12" t="n"/>
      <c r="L65" s="11" t="n"/>
    </row>
    <row r="66">
      <c r="A66" s="11" t="n"/>
      <c r="B66" s="11" t="n"/>
      <c r="C66" s="13" t="n"/>
      <c r="D66" s="11" t="n"/>
      <c r="E66" s="11" t="n"/>
      <c r="F66" s="11" t="n"/>
      <c r="G66" s="11" t="n"/>
      <c r="H66" s="11" t="n"/>
      <c r="I66" s="11" t="n"/>
      <c r="J66" s="11" t="n"/>
      <c r="K66" s="12" t="n"/>
      <c r="L66" s="11" t="n"/>
    </row>
    <row r="67">
      <c r="A67" s="11" t="n"/>
      <c r="B67" s="11" t="n"/>
      <c r="C67" s="13" t="n"/>
      <c r="D67" s="11" t="n"/>
      <c r="E67" s="11" t="n"/>
      <c r="F67" s="11" t="n"/>
      <c r="G67" s="11" t="n"/>
      <c r="H67" s="11" t="n"/>
      <c r="I67" s="11" t="n"/>
      <c r="J67" s="11" t="n"/>
      <c r="K67" s="12" t="n"/>
      <c r="L67" s="11" t="n"/>
    </row>
    <row r="68">
      <c r="A68" s="11" t="n"/>
      <c r="B68" s="11" t="n"/>
      <c r="C68" s="13" t="n"/>
      <c r="D68" s="11" t="n"/>
      <c r="E68" s="11" t="n"/>
      <c r="F68" s="11" t="n"/>
      <c r="G68" s="11" t="n"/>
      <c r="H68" s="11" t="n"/>
      <c r="I68" s="11" t="n"/>
      <c r="J68" s="11" t="n"/>
      <c r="K68" s="12" t="n"/>
      <c r="L68" s="11" t="n"/>
    </row>
    <row r="69">
      <c r="A69" s="11" t="n"/>
      <c r="B69" s="11" t="n"/>
      <c r="C69" s="13" t="n"/>
      <c r="D69" s="11" t="n"/>
      <c r="E69" s="11" t="n"/>
      <c r="F69" s="11" t="n"/>
      <c r="G69" s="11" t="n"/>
      <c r="H69" s="11" t="n"/>
      <c r="I69" s="11" t="n"/>
      <c r="J69" s="11" t="n"/>
      <c r="K69" s="12" t="n"/>
      <c r="L69" s="11" t="n"/>
    </row>
    <row r="70">
      <c r="A70" s="11" t="n"/>
      <c r="B70" s="11" t="n"/>
      <c r="C70" s="13" t="n"/>
      <c r="D70" s="11" t="n"/>
      <c r="E70" s="11" t="n"/>
      <c r="F70" s="11" t="n"/>
      <c r="G70" s="11" t="n"/>
      <c r="H70" s="11" t="n"/>
      <c r="I70" s="11" t="n"/>
      <c r="J70" s="11" t="n"/>
      <c r="K70" s="12" t="n"/>
      <c r="L70" s="11" t="n"/>
    </row>
    <row r="71">
      <c r="A71" s="11" t="n"/>
      <c r="B71" s="11" t="n"/>
      <c r="C71" s="13" t="n"/>
      <c r="D71" s="11" t="n"/>
      <c r="E71" s="11" t="n"/>
      <c r="F71" s="11" t="n"/>
      <c r="G71" s="11" t="n"/>
      <c r="H71" s="11" t="n"/>
      <c r="I71" s="11" t="n"/>
      <c r="J71" s="11" t="n"/>
      <c r="K71" s="12" t="n"/>
      <c r="L71" s="11" t="n"/>
    </row>
    <row r="72">
      <c r="A72" s="11" t="n"/>
      <c r="B72" s="11" t="n"/>
      <c r="C72" s="13" t="n"/>
      <c r="D72" s="11" t="n"/>
      <c r="E72" s="11" t="n"/>
      <c r="F72" s="11" t="n"/>
      <c r="G72" s="11" t="n"/>
      <c r="H72" s="11" t="n"/>
      <c r="I72" s="11" t="n"/>
      <c r="J72" s="11" t="n"/>
      <c r="K72" s="12" t="n"/>
      <c r="L72" s="11" t="n"/>
    </row>
    <row r="73">
      <c r="A73" s="11" t="n"/>
      <c r="B73" s="11" t="n"/>
      <c r="C73" s="13" t="n"/>
      <c r="D73" s="11" t="n"/>
      <c r="E73" s="11" t="n"/>
      <c r="F73" s="11" t="n"/>
      <c r="G73" s="11" t="n"/>
      <c r="H73" s="11" t="n"/>
      <c r="I73" s="11" t="n"/>
      <c r="J73" s="11" t="n"/>
      <c r="K73" s="12" t="n"/>
      <c r="L73" s="11" t="n"/>
    </row>
    <row r="74">
      <c r="A74" s="11" t="n"/>
      <c r="B74" s="11" t="n"/>
      <c r="C74" s="13" t="n"/>
      <c r="D74" s="11" t="n"/>
      <c r="E74" s="11" t="n"/>
      <c r="F74" s="11" t="n"/>
      <c r="G74" s="11" t="n"/>
      <c r="H74" s="11" t="n"/>
      <c r="I74" s="11" t="n"/>
      <c r="J74" s="11" t="n"/>
      <c r="K74" s="12" t="n"/>
      <c r="L74" s="11" t="n"/>
    </row>
    <row r="75">
      <c r="A75" s="11" t="n"/>
      <c r="B75" s="11" t="n"/>
      <c r="C75" s="13" t="n"/>
      <c r="D75" s="11" t="n"/>
      <c r="E75" s="11" t="n"/>
      <c r="F75" s="11" t="n"/>
      <c r="G75" s="11" t="n"/>
      <c r="H75" s="11" t="n"/>
      <c r="I75" s="11" t="n"/>
      <c r="J75" s="11" t="n"/>
      <c r="K75" s="12" t="n"/>
      <c r="L75" s="11" t="n"/>
    </row>
    <row r="76">
      <c r="A76" s="11" t="n"/>
      <c r="B76" s="11" t="n"/>
      <c r="C76" s="13" t="n"/>
      <c r="D76" s="11" t="n"/>
      <c r="E76" s="11" t="n"/>
      <c r="F76" s="11" t="n"/>
      <c r="G76" s="11" t="n"/>
      <c r="H76" s="11" t="n"/>
      <c r="I76" s="11" t="n"/>
      <c r="J76" s="11" t="n"/>
      <c r="K76" s="12" t="n"/>
      <c r="L76" s="11" t="n"/>
    </row>
    <row r="77">
      <c r="A77" s="11" t="n"/>
      <c r="B77" s="11" t="n"/>
      <c r="C77" s="13" t="n"/>
      <c r="D77" s="11" t="n"/>
      <c r="E77" s="11" t="n"/>
      <c r="F77" s="11" t="n"/>
      <c r="G77" s="11" t="n"/>
      <c r="H77" s="11" t="n"/>
      <c r="I77" s="11" t="n"/>
      <c r="J77" s="11" t="n"/>
      <c r="K77" s="12" t="n"/>
      <c r="L77" s="11" t="n"/>
    </row>
    <row r="78">
      <c r="A78" s="11" t="n"/>
      <c r="B78" s="11" t="n"/>
      <c r="C78" s="13" t="n"/>
      <c r="D78" s="11" t="n"/>
      <c r="E78" s="11" t="n"/>
      <c r="F78" s="11" t="n"/>
      <c r="G78" s="11" t="n"/>
      <c r="H78" s="11" t="n"/>
      <c r="I78" s="11" t="n"/>
      <c r="J78" s="11" t="n"/>
      <c r="K78" s="12" t="n"/>
      <c r="L78" s="11" t="n"/>
    </row>
    <row r="79">
      <c r="A79" s="11" t="n"/>
      <c r="B79" s="11" t="n"/>
      <c r="C79" s="13" t="n"/>
      <c r="D79" s="11" t="n"/>
      <c r="E79" s="11" t="n"/>
      <c r="F79" s="11" t="n"/>
      <c r="G79" s="11" t="n"/>
      <c r="H79" s="11" t="n"/>
      <c r="I79" s="11" t="n"/>
      <c r="J79" s="11" t="n"/>
      <c r="K79" s="12" t="n"/>
      <c r="L79" s="11" t="n"/>
    </row>
    <row r="80">
      <c r="A80" s="11" t="n"/>
      <c r="B80" s="11" t="n"/>
      <c r="C80" s="13" t="n"/>
      <c r="D80" s="11" t="n"/>
      <c r="E80" s="11" t="n"/>
      <c r="F80" s="11" t="n"/>
      <c r="G80" s="11" t="n"/>
      <c r="H80" s="11" t="n"/>
      <c r="I80" s="11" t="n"/>
      <c r="J80" s="11" t="n"/>
      <c r="K80" s="12" t="n"/>
      <c r="L80" s="11" t="n"/>
    </row>
    <row r="81">
      <c r="A81" s="11" t="n"/>
      <c r="B81" s="11" t="n"/>
      <c r="C81" s="13" t="n"/>
      <c r="D81" s="11" t="n"/>
      <c r="E81" s="11" t="n"/>
      <c r="F81" s="11" t="n"/>
      <c r="G81" s="11" t="n"/>
      <c r="H81" s="11" t="n"/>
      <c r="I81" s="11" t="n"/>
      <c r="J81" s="11" t="n"/>
      <c r="K81" s="12" t="n"/>
      <c r="L81" s="11" t="n"/>
    </row>
    <row r="82">
      <c r="A82" s="11" t="n"/>
      <c r="B82" s="11" t="n"/>
      <c r="C82" s="13" t="n"/>
      <c r="D82" s="11" t="n"/>
      <c r="E82" s="11" t="n"/>
      <c r="F82" s="11" t="n"/>
      <c r="G82" s="11" t="n"/>
      <c r="H82" s="11" t="n"/>
      <c r="I82" s="11" t="n"/>
      <c r="J82" s="11" t="n"/>
      <c r="K82" s="12" t="n"/>
      <c r="L82" s="11" t="n"/>
    </row>
    <row r="83">
      <c r="A83" s="11" t="n"/>
      <c r="B83" s="11" t="n"/>
      <c r="C83" s="13" t="n"/>
      <c r="D83" s="11" t="n"/>
      <c r="E83" s="11" t="n"/>
      <c r="F83" s="11" t="n"/>
      <c r="G83" s="11" t="n"/>
      <c r="H83" s="11" t="n"/>
      <c r="I83" s="11" t="n"/>
      <c r="J83" s="11" t="n"/>
      <c r="K83" s="12" t="n"/>
      <c r="L83" s="11" t="n"/>
    </row>
    <row r="84">
      <c r="A84" s="11" t="n"/>
      <c r="B84" s="11" t="n"/>
      <c r="C84" s="13" t="n"/>
      <c r="D84" s="11" t="n"/>
      <c r="E84" s="11" t="n"/>
      <c r="F84" s="11" t="n"/>
      <c r="G84" s="11" t="n"/>
      <c r="H84" s="11" t="n"/>
      <c r="I84" s="11" t="n"/>
      <c r="J84" s="11" t="n"/>
      <c r="K84" s="12" t="n"/>
      <c r="L84" s="11" t="n"/>
    </row>
    <row r="85">
      <c r="A85" s="11" t="n"/>
      <c r="B85" s="11" t="n"/>
      <c r="C85" s="13" t="n"/>
      <c r="D85" s="11" t="n"/>
      <c r="E85" s="11" t="n"/>
      <c r="F85" s="11" t="n"/>
      <c r="G85" s="11" t="n"/>
      <c r="H85" s="11" t="n"/>
      <c r="I85" s="11" t="n"/>
      <c r="J85" s="11" t="n"/>
      <c r="K85" s="12" t="n"/>
      <c r="L85" s="11" t="n"/>
    </row>
    <row r="86">
      <c r="A86" s="11" t="n"/>
      <c r="B86" s="11" t="n"/>
      <c r="C86" s="13" t="n"/>
      <c r="D86" s="11" t="n"/>
      <c r="E86" s="11" t="n"/>
      <c r="F86" s="11" t="n"/>
      <c r="G86" s="11" t="n"/>
      <c r="H86" s="11" t="n"/>
      <c r="I86" s="11" t="n"/>
      <c r="J86" s="11" t="n"/>
      <c r="K86" s="12" t="n"/>
      <c r="L86" s="11" t="n"/>
    </row>
    <row r="87">
      <c r="A87" s="11" t="n"/>
      <c r="B87" s="11" t="n"/>
      <c r="C87" s="13" t="n"/>
      <c r="D87" s="11" t="n"/>
      <c r="E87" s="11" t="n"/>
      <c r="F87" s="11" t="n"/>
      <c r="G87" s="11" t="n"/>
      <c r="H87" s="11" t="n"/>
      <c r="I87" s="11" t="n"/>
      <c r="J87" s="11" t="n"/>
      <c r="K87" s="12" t="n"/>
      <c r="L87" s="11" t="n"/>
    </row>
    <row r="88">
      <c r="A88" s="11" t="n"/>
      <c r="B88" s="11" t="n"/>
      <c r="C88" s="13" t="n"/>
      <c r="D88" s="11" t="n"/>
      <c r="E88" s="11" t="n"/>
      <c r="F88" s="11" t="n"/>
      <c r="G88" s="11" t="n"/>
      <c r="H88" s="11" t="n"/>
      <c r="I88" s="11" t="n"/>
      <c r="J88" s="11" t="n"/>
      <c r="K88" s="12" t="n"/>
      <c r="L88" s="11" t="n"/>
    </row>
    <row r="89">
      <c r="A89" s="11" t="n"/>
      <c r="B89" s="11" t="n"/>
      <c r="C89" s="13" t="n"/>
      <c r="D89" s="11" t="n"/>
      <c r="E89" s="11" t="n"/>
      <c r="F89" s="11" t="n"/>
      <c r="G89" s="11" t="n"/>
      <c r="H89" s="11" t="n"/>
      <c r="I89" s="11" t="n"/>
      <c r="J89" s="11" t="n"/>
      <c r="K89" s="12" t="n"/>
      <c r="L89" s="11" t="n"/>
    </row>
    <row r="90">
      <c r="A90" s="11" t="n"/>
      <c r="B90" s="11" t="n"/>
      <c r="C90" s="13" t="n"/>
      <c r="D90" s="11" t="n"/>
      <c r="E90" s="11" t="n"/>
      <c r="F90" s="11" t="n"/>
      <c r="G90" s="11" t="n"/>
      <c r="H90" s="11" t="n"/>
      <c r="I90" s="11" t="n"/>
      <c r="J90" s="11" t="n"/>
      <c r="K90" s="12" t="n"/>
      <c r="L90" s="11" t="n"/>
    </row>
    <row r="91">
      <c r="A91" s="11" t="n"/>
      <c r="B91" s="11" t="n"/>
      <c r="C91" s="13" t="n"/>
      <c r="D91" s="11" t="n"/>
      <c r="E91" s="11" t="n"/>
      <c r="F91" s="11" t="n"/>
      <c r="G91" s="11" t="n"/>
      <c r="H91" s="11" t="n"/>
      <c r="I91" s="11" t="n"/>
      <c r="J91" s="11" t="n"/>
      <c r="K91" s="12" t="n"/>
      <c r="L91" s="11" t="n"/>
    </row>
    <row r="92">
      <c r="A92" s="11" t="n"/>
      <c r="B92" s="11" t="n"/>
      <c r="C92" s="13" t="n"/>
      <c r="D92" s="11" t="n"/>
      <c r="E92" s="11" t="n"/>
      <c r="F92" s="11" t="n"/>
      <c r="G92" s="11" t="n"/>
      <c r="H92" s="11" t="n"/>
      <c r="I92" s="11" t="n"/>
      <c r="J92" s="11" t="n"/>
      <c r="K92" s="12" t="n"/>
      <c r="L92" s="11" t="n"/>
    </row>
    <row r="93">
      <c r="A93" s="11" t="n"/>
      <c r="B93" s="11" t="n"/>
      <c r="C93" s="13" t="n"/>
      <c r="D93" s="11" t="n"/>
      <c r="E93" s="11" t="n"/>
      <c r="F93" s="11" t="n"/>
      <c r="G93" s="11" t="n"/>
      <c r="H93" s="11" t="n"/>
      <c r="I93" s="11" t="n"/>
      <c r="J93" s="11" t="n"/>
      <c r="K93" s="12" t="n"/>
      <c r="L93" s="11" t="n"/>
    </row>
    <row r="94">
      <c r="A94" s="11" t="n"/>
      <c r="B94" s="11" t="n"/>
      <c r="C94" s="13" t="n"/>
      <c r="D94" s="11" t="n"/>
      <c r="E94" s="11" t="n"/>
      <c r="F94" s="11" t="n"/>
      <c r="G94" s="11" t="n"/>
      <c r="H94" s="11" t="n"/>
      <c r="I94" s="11" t="n"/>
      <c r="J94" s="11" t="n"/>
      <c r="K94" s="12" t="n"/>
      <c r="L94" s="11" t="n"/>
    </row>
    <row r="95">
      <c r="A95" s="11" t="n"/>
      <c r="B95" s="11" t="n"/>
      <c r="C95" s="13" t="n"/>
      <c r="D95" s="11" t="n"/>
      <c r="E95" s="11" t="n"/>
      <c r="F95" s="11" t="n"/>
      <c r="G95" s="11" t="n"/>
      <c r="H95" s="11" t="n"/>
      <c r="I95" s="11" t="n"/>
      <c r="J95" s="11" t="n"/>
      <c r="K95" s="12" t="n"/>
      <c r="L95" s="11" t="n"/>
    </row>
    <row r="96">
      <c r="A96" s="11" t="n"/>
      <c r="B96" s="11" t="n"/>
      <c r="C96" s="13" t="n"/>
      <c r="D96" s="11" t="n"/>
      <c r="E96" s="11" t="n"/>
      <c r="F96" s="11" t="n"/>
      <c r="G96" s="11" t="n"/>
      <c r="H96" s="11" t="n"/>
      <c r="I96" s="11" t="n"/>
      <c r="J96" s="11" t="n"/>
      <c r="K96" s="12" t="n"/>
      <c r="L96" s="11" t="n"/>
    </row>
    <row r="97">
      <c r="A97" s="11" t="n"/>
      <c r="B97" s="11" t="n"/>
      <c r="C97" s="13" t="n"/>
      <c r="D97" s="11" t="n"/>
      <c r="E97" s="11" t="n"/>
      <c r="F97" s="11" t="n"/>
      <c r="G97" s="11" t="n"/>
      <c r="H97" s="11" t="n"/>
      <c r="I97" s="11" t="n"/>
      <c r="J97" s="11" t="n"/>
      <c r="K97" s="12" t="n"/>
      <c r="L97" s="11" t="n"/>
    </row>
    <row r="98">
      <c r="A98" s="11" t="n"/>
      <c r="B98" s="11" t="n"/>
      <c r="C98" s="13" t="n"/>
      <c r="D98" s="11" t="n"/>
      <c r="E98" s="11" t="n"/>
      <c r="F98" s="11" t="n"/>
      <c r="G98" s="11" t="n"/>
      <c r="H98" s="11" t="n"/>
      <c r="I98" s="11" t="n"/>
      <c r="J98" s="11" t="n"/>
      <c r="K98" s="12" t="n"/>
      <c r="L98" s="11" t="n"/>
    </row>
    <row r="99">
      <c r="A99" s="11" t="n"/>
      <c r="B99" s="11" t="n"/>
      <c r="C99" s="13" t="n"/>
      <c r="D99" s="11" t="n"/>
      <c r="E99" s="11" t="n"/>
      <c r="F99" s="11" t="n"/>
      <c r="G99" s="11" t="n"/>
      <c r="H99" s="11" t="n"/>
      <c r="I99" s="11" t="n"/>
      <c r="J99" s="11" t="n"/>
      <c r="K99" s="12" t="n"/>
      <c r="L99" s="11" t="n"/>
    </row>
    <row r="100">
      <c r="A100" s="11" t="n"/>
      <c r="B100" s="11" t="n"/>
      <c r="C100" s="13" t="n"/>
      <c r="D100" s="11" t="n"/>
      <c r="E100" s="11" t="n"/>
      <c r="F100" s="11" t="n"/>
      <c r="G100" s="11" t="n"/>
      <c r="H100" s="11" t="n"/>
      <c r="I100" s="11" t="n"/>
      <c r="J100" s="11" t="n"/>
      <c r="K100" s="12" t="n"/>
      <c r="L100" s="11" t="n"/>
    </row>
    <row r="101">
      <c r="A101" s="11" t="n"/>
      <c r="B101" s="11" t="n"/>
      <c r="C101" s="13" t="n"/>
      <c r="D101" s="11" t="n"/>
      <c r="E101" s="11" t="n"/>
      <c r="F101" s="11" t="n"/>
      <c r="G101" s="11" t="n"/>
      <c r="H101" s="11" t="n"/>
      <c r="I101" s="11" t="n"/>
      <c r="J101" s="11" t="n"/>
      <c r="K101" s="12" t="n"/>
      <c r="L101" s="11" t="n"/>
    </row>
  </sheetData>
  <dataValidations count="3">
    <dataValidation sqref="E2:E101" showDropDown="0" showInputMessage="0" showErrorMessage="0" allowBlank="1" type="list">
      <formula1>"Bloquante,Majeure,Mineure"</formula1>
    </dataValidation>
    <dataValidation sqref="J2:J101" showDropDown="0" showInputMessage="0" showErrorMessage="0" allowBlank="1" type="list">
      <formula1>"Ouverte,En correction,Corrigée,Vérifiée,Fermée"</formula1>
    </dataValidation>
    <dataValidation sqref="L2:L101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2026-09-27T07:23:13Z</dcterms:created>
  <dcterms:modified xmlns:dcterms="http://purl.org/dc/terms/" xmlns:xsi="http://www.w3.org/2001/XMLSchema-instance" xsi:type="dcterms:W3CDTF">2026-09-27T07:23:13Z</dcterms:modified>
</cp:coreProperties>
</file>