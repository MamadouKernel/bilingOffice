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Scénarios E2E" sheetId="2" state="visible" r:id="rId2"/>
    <sheet xmlns:r="http://schemas.openxmlformats.org/officeDocument/2006/relationships" name="Traçabilité exigences" sheetId="3" state="visible" r:id="rId3"/>
    <sheet xmlns:r="http://schemas.openxmlformats.org/officeDocument/2006/relationships" name="Synthèse" sheetId="4" state="visible" r:id="rId4"/>
  </sheets>
  <definedNames>
    <definedName name="_xlnm._FilterDatabase" localSheetId="1" hidden="1">'Scénarios E2E'!$A$1:$J$61</definedName>
    <definedName name="_xlnm._FilterDatabase" localSheetId="2" hidden="1">'Traçabilité exigences'!$A$1:$J$189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2E4F"/>
      <sz val="20"/>
    </font>
    <font>
      <name val="Arial"/>
      <color rgb="005B6472"/>
      <sz val="12"/>
    </font>
    <font>
      <name val="Arial"/>
      <i val="1"/>
      <color rgb="005B6472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B2E4F"/>
      <sz val="14"/>
    </font>
  </fonts>
  <fills count="7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EAF1FF"/>
      </patternFill>
    </fill>
    <fill>
      <patternFill patternType="solid">
        <fgColor rgb="00EEF2F7"/>
      </patternFill>
    </fill>
    <fill>
      <patternFill patternType="solid">
        <fgColor rgb="00FDECEA"/>
      </patternFill>
    </fill>
    <fill>
      <patternFill patternType="solid">
        <fgColor rgb="00FFF6E5"/>
      </patternFill>
    </fill>
  </fills>
  <borders count="5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  <border>
      <left style="thin">
        <color rgb="00D9DEE6"/>
      </left>
      <right/>
      <top/>
      <bottom/>
      <diagonal/>
    </border>
    <border>
      <left style="thin">
        <color rgb="00D9DEE6"/>
      </left>
      <right style="thin">
        <color rgb="00D9DEE6"/>
      </right>
      <top/>
      <bottom/>
      <diagonal/>
    </border>
    <border>
      <left style="thin">
        <color rgb="00D9DEE6"/>
      </left>
      <right style="thin">
        <color rgb="00D9DEE6"/>
      </right>
      <top/>
      <bottom style="thin">
        <color rgb="00D9DEE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3" borderId="3" pivotButton="0" quotePrefix="0" xfId="0"/>
    <xf numFmtId="0" fontId="0" fillId="3" borderId="4" pivotButton="0" quotePrefix="0" xfId="0"/>
    <xf numFmtId="0" fontId="4" fillId="4" borderId="1" applyAlignment="1" pivotButton="0" quotePrefix="0" xfId="0">
      <alignment vertical="center" wrapText="1"/>
    </xf>
    <xf numFmtId="0" fontId="0" fillId="4" borderId="3" pivotButton="0" quotePrefix="0" xfId="0"/>
    <xf numFmtId="0" fontId="0" fillId="4" borderId="4" pivotButton="0" quotePrefix="0" xfId="0"/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CAHIER DE RECETTE</t>
        </is>
      </c>
    </row>
    <row r="3">
      <c r="B3" s="2" t="inlineStr">
        <is>
          <t>Plateforme Digitale de Gestion des Parcours et Demandes Clients — Côte d'Ivoire Terminal</t>
        </is>
      </c>
    </row>
    <row r="4">
      <c r="B4" s="3" t="inlineStr">
        <is>
          <t>Billing Office virtuel — Customer Complaint — Enrôlement Transporteurs</t>
        </is>
      </c>
    </row>
    <row r="6">
      <c r="B6" s="4" t="inlineStr">
        <is>
          <t>Référence</t>
        </is>
      </c>
    </row>
    <row r="7" ht="34" customHeight="1">
      <c r="B7" s="5" t="inlineStr">
        <is>
          <t>Établi le 22/09/2026, à partir de docs/cdc_text.txt (CIT-CIV-DSI-RFP-XXXX, v1.0) et du code réellement livré.</t>
        </is>
      </c>
    </row>
    <row r="9">
      <c r="B9" s="4" t="inlineStr">
        <is>
          <t>Portée</t>
        </is>
      </c>
    </row>
    <row r="10" ht="34" customHeight="1">
      <c r="B10" s="5" t="inlineStr">
        <is>
          <t>Traçabilité complète des 188 exigences du CDC (section 8 à 21) + les 15 scénarios de bout en bout imposés par la section 22 "Recette et critères d'acceptation".</t>
        </is>
      </c>
    </row>
    <row r="12">
      <c r="B12" s="4" t="inlineStr">
        <is>
          <t>Comment l'utiliser</t>
        </is>
      </c>
    </row>
    <row r="13" ht="34" customHeight="1">
      <c r="B13" s="5" t="inlineStr">
        <is>
          <t>Onglet "Scénarios E2E" : dérouler chaque scénario dans l'ordre, étape par étape, avec un compte de chaque rôle concerné. Onglet "Traçabilité exigences" : cocher le statut de chaque exigence individuelle — utile pour une recette exhaustive exigence par exigence, en complément des scénarios.</t>
        </is>
      </c>
    </row>
    <row r="15">
      <c r="B15" s="4" t="inlineStr">
        <is>
          <t>Statuts</t>
        </is>
      </c>
    </row>
    <row r="16" ht="34" customHeight="1">
      <c r="B16" s="5" t="inlineStr">
        <is>
          <t>Non testé (par défaut) / Conforme / Non conforme / Non applicable — liste déroulante en colonne Statut de chaque onglet.</t>
        </is>
      </c>
    </row>
    <row r="18">
      <c r="B18" s="4" t="inlineStr">
        <is>
          <t>Critère d'acceptation (CDC §22)</t>
        </is>
      </c>
    </row>
    <row r="19" ht="34" customHeight="1">
      <c r="B19" s="5" t="inlineStr">
        <is>
          <t>100% des scénarios "Must" exécutés avec succès, aucune anomalie bloquante ou majeure ouverte, exigences de sécurité vérifiées, documentation livrée.</t>
        </is>
      </c>
    </row>
    <row r="21">
      <c r="B21" s="4" t="inlineStr">
        <is>
          <t>Priorités CDC</t>
        </is>
      </c>
    </row>
    <row r="22" ht="34" customHeight="1">
      <c r="B22" s="5" t="inlineStr">
        <is>
          <t>Must = indispensable · Should = souhaitée · Could = optionnelle (définition CDC §8).</t>
        </is>
      </c>
    </row>
    <row r="24">
      <c r="B24" s="4" t="inlineStr">
        <is>
          <t>Document complémentaire</t>
        </is>
      </c>
    </row>
    <row r="25" ht="34" customHeight="1">
      <c r="B25" s="5" t="inlineStr">
        <is>
          <t>Le parcours détaillé de chaque rôle (création de compte, connexion, menu) est dans docs/94-parcours-par-role.md et le document "Parcours de tous les rôles".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22" customWidth="1" min="4" max="4"/>
    <col width="42" customWidth="1" min="5" max="5"/>
    <col width="42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 ht="22" customHeight="1">
      <c r="A1" s="6" t="inlineStr">
        <is>
          <t>N°</t>
        </is>
      </c>
      <c r="B1" s="6" t="inlineStr">
        <is>
          <t>Scénario (CDC §22)</t>
        </is>
      </c>
      <c r="C1" s="6" t="inlineStr">
        <is>
          <t>Étape</t>
        </is>
      </c>
      <c r="D1" s="6" t="inlineStr">
        <is>
          <t>Rôle acteur</t>
        </is>
      </c>
      <c r="E1" s="6" t="inlineStr">
        <is>
          <t>Action / Étape détaillée</t>
        </is>
      </c>
      <c r="F1" s="6" t="inlineStr">
        <is>
          <t>Résultat attendu</t>
        </is>
      </c>
      <c r="G1" s="6" t="inlineStr">
        <is>
          <t>Statut</t>
        </is>
      </c>
      <c r="H1" s="6" t="inlineStr">
        <is>
          <t>Testeur</t>
        </is>
      </c>
      <c r="I1" s="6" t="inlineStr">
        <is>
          <t>Date</t>
        </is>
      </c>
      <c r="J1" s="6" t="inlineStr">
        <is>
          <t>Commentaire</t>
        </is>
      </c>
    </row>
    <row r="2" ht="44" customHeight="1">
      <c r="A2" s="7" t="n">
        <v>1</v>
      </c>
      <c r="B2" s="8" t="inlineStr">
        <is>
          <t>S1 — IMPORT client normal</t>
        </is>
      </c>
      <c r="C2" s="7" t="n">
        <v>1</v>
      </c>
      <c r="D2" s="7" t="inlineStr">
        <is>
          <t>Client</t>
        </is>
      </c>
      <c r="E2" s="7" t="inlineStr">
        <is>
          <t>Soumet une demande avec 3 BL et les documents associés (déclaration douane, copie BL).</t>
        </is>
      </c>
      <c r="F2" s="7" t="inlineStr">
        <is>
          <t>3 tickets indépendants générés, un par BL, regroupés sous un même numéro de dossier ; numéros reçus sur le profil et par e-mail (IMP-01, IMP-02, IMP-03).</t>
        </is>
      </c>
      <c r="G2" s="7" t="inlineStr">
        <is>
          <t>Non testé</t>
        </is>
      </c>
      <c r="H2" s="7" t="n"/>
      <c r="I2" s="7" t="n"/>
      <c r="J2" s="7" t="n"/>
    </row>
    <row r="3" ht="44" customHeight="1">
      <c r="A3" s="7" t="n">
        <v>2</v>
      </c>
      <c r="B3" s="9" t="n"/>
      <c r="C3" s="7" t="n">
        <v>2</v>
      </c>
      <c r="D3" s="7" t="inlineStr">
        <is>
          <t>Pilote Manifeste</t>
        </is>
      </c>
      <c r="E3" s="7" t="inlineStr">
        <is>
          <t>Traite les 3 tickets : 1 Validé directement, 1 Rejeté avec motif obligatoire, 1 mis En attente de complément.</t>
        </is>
      </c>
      <c r="F3" s="7" t="inlineStr">
        <is>
          <t>Les 3 issues sont possibles et tracées ; en cas de complément, le client est notifié (IMP-04, IMP-05).</t>
        </is>
      </c>
      <c r="G3" s="7" t="inlineStr">
        <is>
          <t>Non testé</t>
        </is>
      </c>
      <c r="H3" s="7" t="n"/>
      <c r="I3" s="7" t="n"/>
      <c r="J3" s="7" t="n"/>
    </row>
    <row r="4" ht="44" customHeight="1">
      <c r="A4" s="7" t="n">
        <v>3</v>
      </c>
      <c r="B4" s="9" t="n"/>
      <c r="C4" s="7" t="n">
        <v>3</v>
      </c>
      <c r="D4" s="7" t="inlineStr">
        <is>
          <t>Client</t>
        </is>
      </c>
      <c r="E4" s="7" t="inlineStr">
        <is>
          <t>Dépose le complément demandé sur le ticket concerné.</t>
        </is>
      </c>
      <c r="F4" s="7" t="inlineStr">
        <is>
          <t>Le ticket revient dans la file du Pilote Manifeste (IMP-05).</t>
        </is>
      </c>
      <c r="G4" s="7" t="inlineStr">
        <is>
          <t>Non testé</t>
        </is>
      </c>
      <c r="H4" s="7" t="n"/>
      <c r="I4" s="7" t="n"/>
      <c r="J4" s="7" t="n"/>
    </row>
    <row r="5" ht="44" customHeight="1">
      <c r="A5" s="7" t="n">
        <v>4</v>
      </c>
      <c r="B5" s="9" t="n"/>
      <c r="C5" s="7" t="n">
        <v>4</v>
      </c>
      <c r="D5" s="7" t="inlineStr">
        <is>
          <t>Pilote Manifeste</t>
        </is>
      </c>
      <c r="E5" s="7" t="inlineStr">
        <is>
          <t>Valide le ticket après réception du complément.</t>
        </is>
      </c>
      <c r="F5" s="7" t="inlineStr">
        <is>
          <t>Le ticket validé s'oriente automatiquement vers la Facturation (IMP-06, IMP-10).</t>
        </is>
      </c>
      <c r="G5" s="7" t="inlineStr">
        <is>
          <t>Non testé</t>
        </is>
      </c>
      <c r="H5" s="7" t="n"/>
      <c r="I5" s="7" t="n"/>
      <c r="J5" s="7" t="n"/>
    </row>
    <row r="6" ht="44" customHeight="1">
      <c r="A6" s="7" t="n">
        <v>5</v>
      </c>
      <c r="B6" s="9" t="n"/>
      <c r="C6" s="7" t="n">
        <v>5</v>
      </c>
      <c r="D6" s="7" t="inlineStr">
        <is>
          <t>Client</t>
        </is>
      </c>
      <c r="E6" s="7" t="inlineStr">
        <is>
          <t>Demande la facture depuis le ticket validé.</t>
        </is>
      </c>
      <c r="F6" s="7" t="inlineStr">
        <is>
          <t>Le ticket passe dans la file Facturation (IMP-10).</t>
        </is>
      </c>
      <c r="G6" s="7" t="inlineStr">
        <is>
          <t>Non testé</t>
        </is>
      </c>
      <c r="H6" s="7" t="n"/>
      <c r="I6" s="7" t="n"/>
      <c r="J6" s="7" t="n"/>
    </row>
    <row r="7" ht="44" customHeight="1">
      <c r="A7" s="7" t="n">
        <v>6</v>
      </c>
      <c r="B7" s="9" t="n"/>
      <c r="C7" s="7" t="n">
        <v>6</v>
      </c>
      <c r="D7" s="7" t="inlineStr">
        <is>
          <t>Pilote Facturation Terre</t>
        </is>
      </c>
      <c r="E7" s="7" t="inlineStr">
        <is>
          <t>Édite la facture et la joint au ticket.</t>
        </is>
      </c>
      <c r="F7" s="7" t="inlineStr">
        <is>
          <t>Le client est notifié ; la facture est visible sur le ticket (IMP-11).</t>
        </is>
      </c>
      <c r="G7" s="7" t="inlineStr">
        <is>
          <t>Non testé</t>
        </is>
      </c>
      <c r="H7" s="7" t="n"/>
      <c r="I7" s="7" t="n"/>
      <c r="J7" s="7" t="n"/>
    </row>
    <row r="8" ht="44" customHeight="1">
      <c r="A8" s="7" t="n">
        <v>7</v>
      </c>
      <c r="B8" s="9" t="n"/>
      <c r="C8" s="7" t="n">
        <v>7</v>
      </c>
      <c r="D8" s="7" t="inlineStr">
        <is>
          <t>Client</t>
        </is>
      </c>
      <c r="E8" s="7" t="inlineStr">
        <is>
          <t>Paie hors portail (Wave/banque agréée) et joint sa preuve de paiement.</t>
        </is>
      </c>
      <c r="F8" s="7" t="inlineStr">
        <is>
          <t>La preuve est déposée sur le ticket (IMP-12).</t>
        </is>
      </c>
      <c r="G8" s="7" t="inlineStr">
        <is>
          <t>Non testé</t>
        </is>
      </c>
      <c r="H8" s="7" t="n"/>
      <c r="I8" s="7" t="n"/>
      <c r="J8" s="7" t="n"/>
    </row>
    <row r="9" ht="44" customHeight="1">
      <c r="A9" s="7" t="n">
        <v>8</v>
      </c>
      <c r="B9" s="9" t="n"/>
      <c r="C9" s="7" t="n">
        <v>8</v>
      </c>
      <c r="D9" s="7" t="inlineStr">
        <is>
          <t>Caisse / Finance</t>
        </is>
      </c>
      <c r="E9" s="7" t="inlineStr">
        <is>
          <t>Valide la preuve de paiement.</t>
        </is>
      </c>
      <c r="F9" s="7" t="inlineStr">
        <is>
          <t>Statuts En attente paiement → En attente validation paiement → Payé confirmé ; le ticket passe au Contrôle Documentaire (IMP-13).</t>
        </is>
      </c>
      <c r="G9" s="7" t="inlineStr">
        <is>
          <t>Non testé</t>
        </is>
      </c>
      <c r="H9" s="7" t="n"/>
      <c r="I9" s="7" t="n"/>
      <c r="J9" s="7" t="n"/>
    </row>
    <row r="10" ht="44" customHeight="1">
      <c r="A10" s="7" t="n">
        <v>9</v>
      </c>
      <c r="B10" s="9" t="n"/>
      <c r="C10" s="7" t="n">
        <v>9</v>
      </c>
      <c r="D10" s="7" t="inlineStr">
        <is>
          <t>Pilote Contrôle Documentaire</t>
        </is>
      </c>
      <c r="E10" s="7" t="inlineStr">
        <is>
          <t>Vérifie le dossier, dépose Bon de Sortie + BADT.</t>
        </is>
      </c>
      <c r="F10" s="7" t="inlineStr">
        <is>
          <t>Le ticket est renvoyé au client puis clôturé (IMP-14).</t>
        </is>
      </c>
      <c r="G10" s="7" t="inlineStr">
        <is>
          <t>Non testé</t>
        </is>
      </c>
      <c r="H10" s="7" t="n"/>
      <c r="I10" s="7" t="n"/>
      <c r="J10" s="7" t="n"/>
    </row>
    <row r="11" ht="44" customHeight="1">
      <c r="A11" s="7" t="n">
        <v>10</v>
      </c>
      <c r="B11" s="10" t="n"/>
      <c r="C11" s="7" t="n">
        <v>10</v>
      </c>
      <c r="D11" s="7" t="inlineStr">
        <is>
          <t>Système</t>
        </is>
      </c>
      <c r="E11" s="7" t="inlineStr">
        <is>
          <t>Clôture le ticket.</t>
        </is>
      </c>
      <c r="F11" s="7" t="inlineStr">
        <is>
          <t>Archivage automatique ; le ticket reste consultable par le client et les agents habilités (SOC-09).</t>
        </is>
      </c>
      <c r="G11" s="7" t="inlineStr">
        <is>
          <t>Non testé</t>
        </is>
      </c>
      <c r="H11" s="7" t="n"/>
      <c r="I11" s="7" t="n"/>
      <c r="J11" s="7" t="n"/>
    </row>
    <row r="12" ht="44" customHeight="1">
      <c r="A12" s="7" t="n">
        <v>11</v>
      </c>
      <c r="B12" s="11" t="inlineStr">
        <is>
          <t>S2 — IMPORT client en compte</t>
        </is>
      </c>
      <c r="C12" s="7" t="n">
        <v>1</v>
      </c>
      <c r="D12" s="7" t="inlineStr">
        <is>
          <t>Client / Pilote Manifeste / Pilote Facturation</t>
        </is>
      </c>
      <c r="E12" s="7" t="inlineStr">
        <is>
          <t>Déroule le même parcours que S1 jusqu'à l'édition de la facture.</t>
        </is>
      </c>
      <c r="F12" s="7" t="inlineStr">
        <is>
          <t>Identique à S1 jusqu'à IMP-11 (IMP-20).</t>
        </is>
      </c>
      <c r="G12" s="7" t="inlineStr">
        <is>
          <t>Non testé</t>
        </is>
      </c>
      <c r="H12" s="7" t="n"/>
      <c r="I12" s="7" t="n"/>
      <c r="J12" s="7" t="n"/>
    </row>
    <row r="13" ht="44" customHeight="1">
      <c r="A13" s="7" t="n">
        <v>12</v>
      </c>
      <c r="B13" s="12" t="n"/>
      <c r="C13" s="7" t="n">
        <v>2</v>
      </c>
      <c r="D13" s="7" t="inlineStr">
        <is>
          <t>Système</t>
        </is>
      </c>
      <c r="E13" s="7" t="inlineStr">
        <is>
          <t>Après édition de la facture, transmet directement le ticket au Contrôle Documentaire.</t>
        </is>
      </c>
      <c r="F13" s="7" t="inlineStr">
        <is>
          <t>Le ticket n'est PAS renvoyé au client pour paiement — aucune étape de paiement en ligne pour ce profil (IMP-21).</t>
        </is>
      </c>
      <c r="G13" s="7" t="inlineStr">
        <is>
          <t>Non testé</t>
        </is>
      </c>
      <c r="H13" s="7" t="n"/>
      <c r="I13" s="7" t="n"/>
      <c r="J13" s="7" t="n"/>
    </row>
    <row r="14" ht="44" customHeight="1">
      <c r="A14" s="7" t="n">
        <v>13</v>
      </c>
      <c r="B14" s="13" t="n"/>
      <c r="C14" s="7" t="n">
        <v>3</v>
      </c>
      <c r="D14" s="7" t="inlineStr">
        <is>
          <t>Pilote Contrôle Documentaire</t>
        </is>
      </c>
      <c r="E14" s="7" t="inlineStr">
        <is>
          <t>Finalise le dossier et dépose les documents.</t>
        </is>
      </c>
      <c r="F14" s="7" t="inlineStr">
        <is>
          <t>Le client récupère le ticket clôturé avec facture, Bon de Sortie et BADT (IMP-22).</t>
        </is>
      </c>
      <c r="G14" s="7" t="inlineStr">
        <is>
          <t>Non testé</t>
        </is>
      </c>
      <c r="H14" s="7" t="n"/>
      <c r="I14" s="7" t="n"/>
      <c r="J14" s="7" t="n"/>
    </row>
    <row r="15" ht="44" customHeight="1">
      <c r="A15" s="7" t="n">
        <v>14</v>
      </c>
      <c r="B15" s="8" t="inlineStr">
        <is>
          <t>S3 — IMPORT client deposit</t>
        </is>
      </c>
      <c r="C15" s="7" t="n">
        <v>1</v>
      </c>
      <c r="D15" s="7" t="inlineStr">
        <is>
          <t>Client / Pilote Manifeste / Pilote Facturation</t>
        </is>
      </c>
      <c r="E15" s="7" t="inlineStr">
        <is>
          <t>Déroule le même parcours que S1 jusqu'à l'édition de la facture.</t>
        </is>
      </c>
      <c r="F15" s="7" t="inlineStr">
        <is>
          <t>Identique à S1 jusqu'à IMP-11 (IMP-30).</t>
        </is>
      </c>
      <c r="G15" s="7" t="inlineStr">
        <is>
          <t>Non testé</t>
        </is>
      </c>
      <c r="H15" s="7" t="n"/>
      <c r="I15" s="7" t="n"/>
      <c r="J15" s="7" t="n"/>
    </row>
    <row r="16" ht="44" customHeight="1">
      <c r="A16" s="7" t="n">
        <v>15</v>
      </c>
      <c r="B16" s="9" t="n"/>
      <c r="C16" s="7" t="n">
        <v>2</v>
      </c>
      <c r="D16" s="7" t="inlineStr">
        <is>
          <t>Comptable Client</t>
        </is>
      </c>
      <c r="E16" s="7" t="inlineStr">
        <is>
          <t>Effectue le lettrage (IRIS, hors portail) et le confirme dans le ticket.</t>
        </is>
      </c>
      <c r="F16" s="7" t="inlineStr">
        <is>
          <t>Le ticket passe à la file Comptabilité Client après facturation, puis au Contrôle Documentaire une fois le lettrage confirmé (IMP-31).</t>
        </is>
      </c>
      <c r="G16" s="7" t="inlineStr">
        <is>
          <t>Non testé</t>
        </is>
      </c>
      <c r="H16" s="7" t="n"/>
      <c r="I16" s="7" t="n"/>
      <c r="J16" s="7" t="n"/>
    </row>
    <row r="17" ht="44" customHeight="1">
      <c r="A17" s="7" t="n">
        <v>16</v>
      </c>
      <c r="B17" s="10" t="n"/>
      <c r="C17" s="7" t="n">
        <v>3</v>
      </c>
      <c r="D17" s="7" t="inlineStr">
        <is>
          <t>Pilote Contrôle Documentaire</t>
        </is>
      </c>
      <c r="E17" s="7" t="inlineStr">
        <is>
          <t>Finalise le dossier.</t>
        </is>
      </c>
      <c r="F17" s="7" t="inlineStr">
        <is>
          <t>Le ticket est retourné au client avec ses documents (IMP-32).</t>
        </is>
      </c>
      <c r="G17" s="7" t="inlineStr">
        <is>
          <t>Non testé</t>
        </is>
      </c>
      <c r="H17" s="7" t="n"/>
      <c r="I17" s="7" t="n"/>
      <c r="J17" s="7" t="n"/>
    </row>
    <row r="18" ht="44" customHeight="1">
      <c r="A18" s="7" t="n">
        <v>17</v>
      </c>
      <c r="B18" s="11" t="inlineStr">
        <is>
          <t>S4 — IMPORT client IES</t>
        </is>
      </c>
      <c r="C18" s="7" t="n">
        <v>1</v>
      </c>
      <c r="D18" s="7" t="inlineStr">
        <is>
          <t>Système</t>
        </is>
      </c>
      <c r="E18" s="7" t="inlineStr">
        <is>
          <t>Crée le ticket d'un client IES.</t>
        </is>
      </c>
      <c r="F18" s="7" t="inlineStr">
        <is>
          <t>Traité EN PARALLÈLE par le Pilote Manifeste et le Pilote Contrôle Documentaire, chacun limité à ses champs/actions propres (IMP-40).</t>
        </is>
      </c>
      <c r="G18" s="7" t="inlineStr">
        <is>
          <t>Non testé</t>
        </is>
      </c>
      <c r="H18" s="7" t="n"/>
      <c r="I18" s="7" t="n"/>
      <c r="J18" s="7" t="n"/>
    </row>
    <row r="19" ht="44" customHeight="1">
      <c r="A19" s="7" t="n">
        <v>18</v>
      </c>
      <c r="B19" s="12" t="n"/>
      <c r="C19" s="7" t="n">
        <v>2</v>
      </c>
      <c r="D19" s="7" t="inlineStr">
        <is>
          <t>Pilote Manifeste + Pilote Contrôle Documentaire</t>
        </is>
      </c>
      <c r="E19" s="7" t="inlineStr">
        <is>
          <t>Traitent chacun leur volet en parallèle.</t>
        </is>
      </c>
      <c r="F19" s="7" t="inlineStr">
        <is>
          <t>Aucun des deux volets ne peut modifier les champs réservés à l'autre rôle (IMP-40, SEC-02).</t>
        </is>
      </c>
      <c r="G19" s="7" t="inlineStr">
        <is>
          <t>Non testé</t>
        </is>
      </c>
      <c r="H19" s="7" t="n"/>
      <c r="I19" s="7" t="n"/>
      <c r="J19" s="7" t="n"/>
    </row>
    <row r="20" ht="44" customHeight="1">
      <c r="A20" s="7" t="n">
        <v>19</v>
      </c>
      <c r="B20" s="12" t="n"/>
      <c r="C20" s="7" t="n">
        <v>3</v>
      </c>
      <c r="D20" s="7" t="inlineStr">
        <is>
          <t>Système</t>
        </is>
      </c>
      <c r="E20" s="7" t="inlineStr">
        <is>
          <t>Attend la fin des deux traitements.</t>
        </is>
      </c>
      <c r="F20" s="7" t="inlineStr">
        <is>
          <t>Jointure : le ticket n'est retourné au client qu'une fois les DEUX volets terminés (IMP-41).</t>
        </is>
      </c>
      <c r="G20" s="7" t="inlineStr">
        <is>
          <t>Non testé</t>
        </is>
      </c>
      <c r="H20" s="7" t="n"/>
      <c r="I20" s="7" t="n"/>
      <c r="J20" s="7" t="n"/>
    </row>
    <row r="21" ht="44" customHeight="1">
      <c r="A21" s="7" t="n">
        <v>20</v>
      </c>
      <c r="B21" s="13" t="n"/>
      <c r="C21" s="7" t="n">
        <v>4</v>
      </c>
      <c r="D21" s="7" t="inlineStr">
        <is>
          <t>Client</t>
        </is>
      </c>
      <c r="E21" s="7" t="inlineStr">
        <is>
          <t>Poursuit facturation/paiement/documents sur la plateforme IES elle-même.</t>
        </is>
      </c>
      <c r="F21" s="7" t="inlineStr">
        <is>
          <t>Le ticket portail se clôture à la remise des documents (IMP-42).</t>
        </is>
      </c>
      <c r="G21" s="7" t="inlineStr">
        <is>
          <t>Non testé</t>
        </is>
      </c>
      <c r="H21" s="7" t="n"/>
      <c r="I21" s="7" t="n"/>
      <c r="J21" s="7" t="n"/>
    </row>
    <row r="22" ht="44" customHeight="1">
      <c r="A22" s="7" t="n">
        <v>21</v>
      </c>
      <c r="B22" s="8" t="inlineStr">
        <is>
          <t>S5 — EXPORT (4 types de client)</t>
        </is>
      </c>
      <c r="C22" s="7" t="n">
        <v>1</v>
      </c>
      <c r="D22" s="7" t="inlineStr">
        <is>
          <t>Client</t>
        </is>
      </c>
      <c r="E22" s="7" t="inlineStr">
        <is>
          <t>Soumet un ou plusieurs bookings avec documents associés (confirmation de booking, déclaration export).</t>
        </is>
      </c>
      <c r="F22" s="7" t="inlineStr">
        <is>
          <t>Un ticket généré par booking (EXP-01).</t>
        </is>
      </c>
      <c r="G22" s="7" t="inlineStr">
        <is>
          <t>Non testé</t>
        </is>
      </c>
      <c r="H22" s="7" t="n"/>
      <c r="I22" s="7" t="n"/>
      <c r="J22" s="7" t="n"/>
    </row>
    <row r="23" ht="44" customHeight="1">
      <c r="A23" s="7" t="n">
        <v>22</v>
      </c>
      <c r="B23" s="9" t="n"/>
      <c r="C23" s="7" t="n">
        <v>2</v>
      </c>
      <c r="D23" s="7" t="inlineStr">
        <is>
          <t>Back Office</t>
        </is>
      </c>
      <c r="E23" s="7" t="inlineStr">
        <is>
          <t>Crée et codifie le booking dans IPAKI (hors portail), prononce Codifié / Rejeté / En attente de complément.</t>
        </is>
      </c>
      <c r="F23" s="7" t="inlineStr">
        <is>
          <t>Trois issues possibles, motif obligatoire en cas de rejet (EXP-02).</t>
        </is>
      </c>
      <c r="G23" s="7" t="inlineStr">
        <is>
          <t>Non testé</t>
        </is>
      </c>
      <c r="H23" s="7" t="n"/>
      <c r="I23" s="7" t="n"/>
      <c r="J23" s="7" t="n"/>
    </row>
    <row r="24" ht="44" customHeight="1">
      <c r="A24" s="7" t="n">
        <v>23</v>
      </c>
      <c r="B24" s="9" t="n"/>
      <c r="C24" s="7" t="n">
        <v>3</v>
      </c>
      <c r="D24" s="7" t="inlineStr">
        <is>
          <t>Pilote Facturation</t>
        </is>
      </c>
      <c r="E24" s="7" t="inlineStr">
        <is>
          <t>Crée le Draft IN (simulation d'entrée plein export, hors portail) avant l'édition de la facture.</t>
        </is>
      </c>
      <c r="F24" s="7" t="inlineStr">
        <is>
          <t>Le Draft IN précède toujours l'édition de la facture EXPORT (EXP-03).</t>
        </is>
      </c>
      <c r="G24" s="7" t="inlineStr">
        <is>
          <t>Non testé</t>
        </is>
      </c>
      <c r="H24" s="7" t="n"/>
      <c r="I24" s="7" t="n"/>
      <c r="J24" s="7" t="n"/>
    </row>
    <row r="25" ht="44" customHeight="1">
      <c r="A25" s="7" t="n">
        <v>24</v>
      </c>
      <c r="B25" s="9" t="n"/>
      <c r="C25" s="7" t="n">
        <v>4</v>
      </c>
      <c r="D25" s="7" t="inlineStr">
        <is>
          <t>Pilote Facturation / Comptable / Contrôle Documentaire</t>
        </is>
      </c>
      <c r="E25" s="7" t="inlineStr">
        <is>
          <t>Suit ensuite la même orientation par type de client que l'IMPORT (normal/en compte/deposit/IES).</t>
        </is>
      </c>
      <c r="F25" s="7" t="inlineStr">
        <is>
          <t>Le document final déposé est le BEE, et non le Bon de Sortie (EXP-03).</t>
        </is>
      </c>
      <c r="G25" s="7" t="inlineStr">
        <is>
          <t>Non testé</t>
        </is>
      </c>
      <c r="H25" s="7" t="n"/>
      <c r="I25" s="7" t="n"/>
      <c r="J25" s="7" t="n"/>
    </row>
    <row r="26" ht="44" customHeight="1">
      <c r="A26" s="7" t="n">
        <v>25</v>
      </c>
      <c r="B26" s="10" t="n"/>
      <c r="C26" s="7" t="n">
        <v>5</v>
      </c>
      <c r="D26" s="7" t="inlineStr">
        <is>
          <t>Plateforme IES (pour le client IES export)</t>
        </is>
      </c>
      <c r="E26" s="7" t="inlineStr">
        <is>
          <t>Génère la facture et le BEE après le traitement parallèle et la remise des documents.</t>
        </is>
      </c>
      <c r="F26" s="7" t="inlineStr">
        <is>
          <t>Cohérent avec le parcours IES import (EXP-04).</t>
        </is>
      </c>
      <c r="G26" s="7" t="inlineStr">
        <is>
          <t>Non testé</t>
        </is>
      </c>
      <c r="H26" s="7" t="n"/>
      <c r="I26" s="7" t="n"/>
      <c r="J26" s="7" t="n"/>
    </row>
    <row r="27" ht="44" customHeight="1">
      <c r="A27" s="7" t="n">
        <v>26</v>
      </c>
      <c r="B27" s="11" t="inlineStr">
        <is>
          <t>S6 — Simulation de Proforma</t>
        </is>
      </c>
      <c r="C27" s="7" t="n">
        <v>1</v>
      </c>
      <c r="D27" s="7" t="inlineStr">
        <is>
          <t>Client ou visiteur anonyme</t>
        </is>
      </c>
      <c r="E27" s="7" t="inlineStr">
        <is>
          <t>Lance une simulation multi-conteneurs (Dry et Reefer), avec majorations lourd/dangereux/hors gabarit et stationnement par tranches.</t>
        </is>
      </c>
      <c r="F27" s="7" t="inlineStr">
        <is>
          <t>Chaque poste est calculé par conteneur (acconage, relevage, branchement frigo, majorations, stationnement) + total général (SIM-01, SIM-02, SIM-05).</t>
        </is>
      </c>
      <c r="G27" s="7" t="inlineStr">
        <is>
          <t>Non testé</t>
        </is>
      </c>
      <c r="H27" s="7" t="n"/>
      <c r="I27" s="7" t="n"/>
      <c r="J27" s="7" t="n"/>
    </row>
    <row r="28" ht="44" customHeight="1">
      <c r="A28" s="7" t="n">
        <v>27</v>
      </c>
      <c r="B28" s="12" t="n"/>
      <c r="C28" s="7" t="n">
        <v>2</v>
      </c>
      <c r="D28" s="7" t="inlineStr">
        <is>
          <t>Testeur</t>
        </is>
      </c>
      <c r="E28" s="7" t="inlineStr">
        <is>
          <t>Contrôle les 5 cas de l'Annexe A.8 (test01 à test06, hors test05) au franc près.</t>
        </is>
      </c>
      <c r="F28" s="7" t="inlineStr">
        <is>
          <t>test01 = 199 129 XOF · test02 = 2 054 980 XOF · test03 = 245 500 XOF · test04 = 2 053 400 XOF · test06 = 2 245 300 XOF (Annexe A.8).</t>
        </is>
      </c>
      <c r="G28" s="7" t="inlineStr">
        <is>
          <t>Non testé</t>
        </is>
      </c>
      <c r="H28" s="7" t="n"/>
      <c r="I28" s="7" t="n"/>
      <c r="J28" s="7" t="n"/>
    </row>
    <row r="29" ht="44" customHeight="1">
      <c r="A29" s="7" t="n">
        <v>28</v>
      </c>
      <c r="B29" s="13" t="n"/>
      <c r="C29" s="7" t="n">
        <v>3</v>
      </c>
      <c r="D29" s="7" t="inlineStr">
        <is>
          <t>Administrateur tarifaire</t>
        </is>
      </c>
      <c r="E29" s="7" t="inlineStr">
        <is>
          <t>Modifie un paramètre (tarif, taux, franchise) sans développement.</t>
        </is>
      </c>
      <c r="F29" s="7" t="inlineStr">
        <is>
          <t>La modification se répercute correctement sur un nouveau calcul, sans redéploiement (SIM-06, CDC §22).</t>
        </is>
      </c>
      <c r="G29" s="7" t="inlineStr">
        <is>
          <t>Non testé</t>
        </is>
      </c>
      <c r="H29" s="7" t="n"/>
      <c r="I29" s="7" t="n"/>
      <c r="J29" s="7" t="n"/>
    </row>
    <row r="30" ht="44" customHeight="1">
      <c r="A30" s="7" t="n">
        <v>29</v>
      </c>
      <c r="B30" s="8" t="inlineStr">
        <is>
          <t>S7 — Customer Complaint</t>
        </is>
      </c>
      <c r="C30" s="7" t="n">
        <v>1</v>
      </c>
      <c r="D30" s="7" t="inlineStr">
        <is>
          <t>Client</t>
        </is>
      </c>
      <c r="E30" s="7" t="inlineStr">
        <is>
          <t>Crée une réclamation en sélectionnant une catégorie.</t>
        </is>
      </c>
      <c r="F30" s="7" t="inlineStr">
        <is>
          <t>Un ticket est généré et tracé de bout en bout (REC-01).</t>
        </is>
      </c>
      <c r="G30" s="7" t="inlineStr">
        <is>
          <t>Non testé</t>
        </is>
      </c>
      <c r="H30" s="7" t="n"/>
      <c r="I30" s="7" t="n"/>
      <c r="J30" s="7" t="n"/>
    </row>
    <row r="31" ht="44" customHeight="1">
      <c r="A31" s="7" t="n">
        <v>30</v>
      </c>
      <c r="B31" s="9" t="n"/>
      <c r="C31" s="7" t="n">
        <v>2</v>
      </c>
      <c r="D31" s="7" t="inlineStr">
        <is>
          <t>Support Opérationnel</t>
        </is>
      </c>
      <c r="E31" s="7" t="inlineStr">
        <is>
          <t>Instruit, demande un complément si besoin, oriente vers le service concerné.</t>
        </is>
      </c>
      <c r="F31" s="7" t="inlineStr">
        <is>
          <t>Le complément est demandé et tracé (REC-03).</t>
        </is>
      </c>
      <c r="G31" s="7" t="inlineStr">
        <is>
          <t>Non testé</t>
        </is>
      </c>
      <c r="H31" s="7" t="n"/>
      <c r="I31" s="7" t="n"/>
      <c r="J31" s="7" t="n"/>
    </row>
    <row r="32" ht="44" customHeight="1">
      <c r="A32" s="7" t="n">
        <v>31</v>
      </c>
      <c r="B32" s="10" t="n"/>
      <c r="C32" s="7" t="n">
        <v>3</v>
      </c>
      <c r="D32" s="7" t="inlineStr">
        <is>
          <t>Support Opérationnel</t>
        </is>
      </c>
      <c r="E32" s="7" t="inlineStr">
        <is>
          <t>Clôture la réclamation avec une réponse formalisée.</t>
        </is>
      </c>
      <c r="F32" s="7" t="inlineStr">
        <is>
          <t>La réponse est conservée dans le ticket (REC-04).</t>
        </is>
      </c>
      <c r="G32" s="7" t="inlineStr">
        <is>
          <t>Non testé</t>
        </is>
      </c>
      <c r="H32" s="7" t="n"/>
      <c r="I32" s="7" t="n"/>
      <c r="J32" s="7" t="n"/>
    </row>
    <row r="33" ht="44" customHeight="1">
      <c r="A33" s="7" t="n">
        <v>32</v>
      </c>
      <c r="B33" s="11" t="inlineStr">
        <is>
          <t>S8 — Enrôlement Transporteur</t>
        </is>
      </c>
      <c r="C33" s="7" t="n">
        <v>1</v>
      </c>
      <c r="D33" s="7" t="inlineStr">
        <is>
          <t>Transporteur / Chauffeur</t>
        </is>
      </c>
      <c r="E33" s="7" t="inlineStr">
        <is>
          <t>Renseigne à distance son dossier et dépose ses pièces.</t>
        </is>
      </c>
      <c r="F33" s="7" t="inlineStr">
        <is>
          <t>Un ticket est généré (ENR-01, ENR-02).</t>
        </is>
      </c>
      <c r="G33" s="7" t="inlineStr">
        <is>
          <t>Non testé</t>
        </is>
      </c>
      <c r="H33" s="7" t="n"/>
      <c r="I33" s="7" t="n"/>
      <c r="J33" s="7" t="n"/>
    </row>
    <row r="34" ht="44" customHeight="1">
      <c r="A34" s="7" t="n">
        <v>33</v>
      </c>
      <c r="B34" s="12" t="n"/>
      <c r="C34" s="7" t="n">
        <v>2</v>
      </c>
      <c r="D34" s="7" t="inlineStr">
        <is>
          <t>Agent Gate</t>
        </is>
      </c>
      <c r="E34" s="7" t="inlineStr">
        <is>
          <t>Vérifie le dossier, demande un complément si besoin, puis valide.</t>
        </is>
      </c>
      <c r="F34" s="7" t="inlineStr">
        <is>
          <t>Le dossier est validé après complément si nécessaire (ENR-02).</t>
        </is>
      </c>
      <c r="G34" s="7" t="inlineStr">
        <is>
          <t>Non testé</t>
        </is>
      </c>
      <c r="H34" s="7" t="n"/>
      <c r="I34" s="7" t="n"/>
      <c r="J34" s="7" t="n"/>
    </row>
    <row r="35" ht="44" customHeight="1">
      <c r="A35" s="7" t="n">
        <v>34</v>
      </c>
      <c r="B35" s="12" t="n"/>
      <c r="C35" s="7" t="n">
        <v>3</v>
      </c>
      <c r="D35" s="7" t="inlineStr">
        <is>
          <t>Agent Gate</t>
        </is>
      </c>
      <c r="E35" s="7" t="inlineStr">
        <is>
          <t>Convoque le chauffeur pour la photo et la remise du badge.</t>
        </is>
      </c>
      <c r="F35" s="7" t="inlineStr">
        <is>
          <t>Le déplacement physique n'est requis que pour ces étapes ; le ticket trace la convocation (ENR-03).</t>
        </is>
      </c>
      <c r="G35" s="7" t="inlineStr">
        <is>
          <t>Non testé</t>
        </is>
      </c>
      <c r="H35" s="7" t="n"/>
      <c r="I35" s="7" t="n"/>
      <c r="J35" s="7" t="n"/>
    </row>
    <row r="36" ht="44" customHeight="1">
      <c r="A36" s="7" t="n">
        <v>35</v>
      </c>
      <c r="B36" s="13" t="n"/>
      <c r="C36" s="7" t="n">
        <v>4</v>
      </c>
      <c r="D36" s="7" t="inlineStr">
        <is>
          <t>Système</t>
        </is>
      </c>
      <c r="E36" s="7" t="inlineStr">
        <is>
          <t>Clôture le dossier après remise du badge.</t>
        </is>
      </c>
      <c r="F36" s="7" t="inlineStr">
        <is>
          <t>Le ticket est clôturé (ENR-02, ENR-03).</t>
        </is>
      </c>
      <c r="G36" s="7" t="inlineStr">
        <is>
          <t>Non testé</t>
        </is>
      </c>
      <c r="H36" s="7" t="n"/>
      <c r="I36" s="7" t="n"/>
      <c r="J36" s="7" t="n"/>
    </row>
    <row r="37" ht="44" customHeight="1">
      <c r="A37" s="7" t="n">
        <v>36</v>
      </c>
      <c r="B37" s="8" t="inlineStr">
        <is>
          <t>S9 — Prise en charge d'un ticket</t>
        </is>
      </c>
      <c r="C37" s="7" t="n">
        <v>1</v>
      </c>
      <c r="D37" s="7" t="inlineStr">
        <is>
          <t>Système</t>
        </is>
      </c>
      <c r="E37" s="7" t="inlineStr">
        <is>
          <t>Place un ticket entrant en file à l'état "en attente de prise en charge".</t>
        </is>
      </c>
      <c r="F37" s="7" t="inlineStr">
        <is>
          <t>L'état est visible tant qu'aucun opérateur n'a accepté (PEC-01).</t>
        </is>
      </c>
      <c r="G37" s="7" t="inlineStr">
        <is>
          <t>Non testé</t>
        </is>
      </c>
      <c r="H37" s="7" t="n"/>
      <c r="I37" s="7" t="n"/>
      <c r="J37" s="7" t="n"/>
    </row>
    <row r="38" ht="44" customHeight="1">
      <c r="A38" s="7" t="n">
        <v>37</v>
      </c>
      <c r="B38" s="9" t="n"/>
      <c r="C38" s="7" t="n">
        <v>2</v>
      </c>
      <c r="D38" s="7" t="inlineStr">
        <is>
          <t>Opérateur habilité</t>
        </is>
      </c>
      <c r="E38" s="7" t="inlineStr">
        <is>
          <t>Prend en charge (accepte) le ticket.</t>
        </is>
      </c>
      <c r="F38" s="7" t="inlineStr">
        <is>
          <t>Le ticket lui est affecté et passe en traitement (PEC-02).</t>
        </is>
      </c>
      <c r="G38" s="7" t="inlineStr">
        <is>
          <t>Non testé</t>
        </is>
      </c>
      <c r="H38" s="7" t="n"/>
      <c r="I38" s="7" t="n"/>
      <c r="J38" s="7" t="n"/>
    </row>
    <row r="39" ht="44" customHeight="1">
      <c r="A39" s="7" t="n">
        <v>38</v>
      </c>
      <c r="B39" s="10" t="n"/>
      <c r="C39" s="7" t="n">
        <v>3</v>
      </c>
      <c r="D39" s="7" t="inlineStr">
        <is>
          <t>Testeur</t>
        </is>
      </c>
      <c r="E39" s="7" t="inlineStr">
        <is>
          <t>Vérifie les horodatages enregistrés.</t>
        </is>
      </c>
      <c r="F39" s="7" t="inlineStr">
        <is>
          <t>Heure d'arrivée en file, heure de prise en charge, opérateur, début de traitement, dernière activité — tous enregistrés et exploitables dans les indicateurs (PEC-03, PEC-04).</t>
        </is>
      </c>
      <c r="G39" s="7" t="inlineStr">
        <is>
          <t>Non testé</t>
        </is>
      </c>
      <c r="H39" s="7" t="n"/>
      <c r="I39" s="7" t="n"/>
      <c r="J39" s="7" t="n"/>
    </row>
    <row r="40" ht="44" customHeight="1">
      <c r="A40" s="7" t="n">
        <v>39</v>
      </c>
      <c r="B40" s="11" t="inlineStr">
        <is>
          <t>S10 — Transfert de file</t>
        </is>
      </c>
      <c r="C40" s="7" t="n">
        <v>1</v>
      </c>
      <c r="D40" s="7" t="inlineStr">
        <is>
          <t>Opérateur habilité</t>
        </is>
      </c>
      <c r="E40" s="7" t="inlineStr">
        <is>
          <t>Transfère un ticket mal orienté (ex. Contrôle BL → Facturation) avec motif obligatoire.</t>
        </is>
      </c>
      <c r="F40" s="7" t="inlineStr">
        <is>
          <t>Le ticket conserve numéro, dossier, documents, commentaires et historique ; le client est notifié (TRF-01, TRF-02, TRF-05).</t>
        </is>
      </c>
      <c r="G40" s="7" t="inlineStr">
        <is>
          <t>Non testé</t>
        </is>
      </c>
      <c r="H40" s="7" t="n"/>
      <c r="I40" s="7" t="n"/>
      <c r="J40" s="7" t="n"/>
    </row>
    <row r="41" ht="44" customHeight="1">
      <c r="A41" s="7" t="n">
        <v>40</v>
      </c>
      <c r="B41" s="13" t="n"/>
      <c r="C41" s="7" t="n">
        <v>2</v>
      </c>
      <c r="D41" s="7" t="inlineStr">
        <is>
          <t>Testeur</t>
        </is>
      </c>
      <c r="E41" s="7" t="inlineStr">
        <is>
          <t>Tente un transfert vers une destination non autorisée par la matrice.</t>
        </is>
      </c>
      <c r="F41" s="7" t="inlineStr">
        <is>
          <t>Le transfert est refusé (TRF-06, matrice §9.4).</t>
        </is>
      </c>
      <c r="G41" s="7" t="inlineStr">
        <is>
          <t>Non testé</t>
        </is>
      </c>
      <c r="H41" s="7" t="n"/>
      <c r="I41" s="7" t="n"/>
      <c r="J41" s="7" t="n"/>
    </row>
    <row r="42" ht="44" customHeight="1">
      <c r="A42" s="7" t="n">
        <v>41</v>
      </c>
      <c r="B42" s="7" t="inlineStr">
        <is>
          <t>S11 — Réaffectation entre opérateurs</t>
        </is>
      </c>
      <c r="C42" s="7" t="n">
        <v>1</v>
      </c>
      <c r="D42" s="7" t="inlineStr">
        <is>
          <t>Opérateur A habilité</t>
        </is>
      </c>
      <c r="E42" s="7" t="inlineStr">
        <is>
          <t>Réaffecte un ticket à un opérateur B habilité de la même file.</t>
        </is>
      </c>
      <c r="F42" s="7" t="inlineStr">
        <is>
          <t>La réaffectation est acceptée si les droits sont configurés, tracée dans l'historique — ce droit n'est PAS réservé au superviseur (TRF-04).</t>
        </is>
      </c>
      <c r="G42" s="7" t="inlineStr">
        <is>
          <t>Non testé</t>
        </is>
      </c>
      <c r="H42" s="7" t="n"/>
      <c r="I42" s="7" t="n"/>
      <c r="J42" s="7" t="n"/>
    </row>
    <row r="43" ht="44" customHeight="1">
      <c r="A43" s="7" t="n">
        <v>42</v>
      </c>
      <c r="B43" s="11" t="inlineStr">
        <is>
          <t>S12 — Temps et SLA</t>
        </is>
      </c>
      <c r="C43" s="7" t="n">
        <v>1</v>
      </c>
      <c r="D43" s="7" t="inlineStr">
        <is>
          <t>Testeur</t>
        </is>
      </c>
      <c r="E43" s="7" t="inlineStr">
        <is>
          <t>Vérifie la mesure du temps d'attente et de traitement à chaque étape.</t>
        </is>
      </c>
      <c r="F43" s="7" t="inlineStr">
        <is>
          <t>Les deux durées sont distinguées, plus le temps d'attente client et le temps total (TPS-01, TPS-02, TPS-03).</t>
        </is>
      </c>
      <c r="G43" s="7" t="inlineStr">
        <is>
          <t>Non testé</t>
        </is>
      </c>
      <c r="H43" s="7" t="n"/>
      <c r="I43" s="7" t="n"/>
      <c r="J43" s="7" t="n"/>
    </row>
    <row r="44" ht="44" customHeight="1">
      <c r="A44" s="7" t="n">
        <v>43</v>
      </c>
      <c r="B44" s="12" t="n"/>
      <c r="C44" s="7" t="n">
        <v>2</v>
      </c>
      <c r="D44" s="7" t="inlineStr">
        <is>
          <t>Testeur</t>
        </is>
      </c>
      <c r="E44" s="7" t="inlineStr">
        <is>
          <t>Place un ticket en "En attente client" puis vérifie le SLA.</t>
        </is>
      </c>
      <c r="F44" s="7" t="inlineStr">
        <is>
          <t>Le SLA interne est suspendu pendant cet état — le délai n'est pas imputé à l'opérateur (TPS-04, SLA-03).</t>
        </is>
      </c>
      <c r="G44" s="7" t="inlineStr">
        <is>
          <t>Non testé</t>
        </is>
      </c>
      <c r="H44" s="7" t="n"/>
      <c r="I44" s="7" t="n"/>
      <c r="J44" s="7" t="n"/>
    </row>
    <row r="45" ht="44" customHeight="1">
      <c r="A45" s="7" t="n">
        <v>44</v>
      </c>
      <c r="B45" s="13" t="n"/>
      <c r="C45" s="7" t="n">
        <v>3</v>
      </c>
      <c r="D45" s="7" t="inlineStr">
        <is>
          <t>Testeur</t>
        </is>
      </c>
      <c r="E45" s="7" t="inlineStr">
        <is>
          <t>Fait franchir les seuils 50%, 80%, 100% (dépassement) à un ticket.</t>
        </is>
      </c>
      <c r="F45" s="7" t="inlineStr">
        <is>
          <t>Chaque seuil déclenche l'information/alerte/dépassement correspondant ; le dépassement peut déclencher une escalade (SLA-02, ALE-03).</t>
        </is>
      </c>
      <c r="G45" s="7" t="inlineStr">
        <is>
          <t>Non testé</t>
        </is>
      </c>
      <c r="H45" s="7" t="n"/>
      <c r="I45" s="7" t="n"/>
      <c r="J45" s="7" t="n"/>
    </row>
    <row r="46" ht="44" customHeight="1">
      <c r="A46" s="7" t="n">
        <v>45</v>
      </c>
      <c r="B46" s="8" t="inlineStr">
        <is>
          <t>S13 — Supervision</t>
        </is>
      </c>
      <c r="C46" s="7" t="n">
        <v>1</v>
      </c>
      <c r="D46" s="7" t="inlineStr">
        <is>
          <t>Superviseur</t>
        </is>
      </c>
      <c r="E46" s="7" t="inlineStr">
        <is>
          <t>Consulte la vue temps réel des files et de la charge.</t>
        </is>
      </c>
      <c r="F46" s="7" t="inlineStr">
        <is>
          <t>Tickets par état, backlog, ancienneté du plus ancien, délai moyen, respect SLA (SUP-01, SUP-02).</t>
        </is>
      </c>
      <c r="G46" s="7" t="inlineStr">
        <is>
          <t>Non testé</t>
        </is>
      </c>
      <c r="H46" s="7" t="n"/>
      <c r="I46" s="7" t="n"/>
      <c r="J46" s="7" t="n"/>
    </row>
    <row r="47" ht="44" customHeight="1">
      <c r="A47" s="7" t="n">
        <v>46</v>
      </c>
      <c r="B47" s="9" t="n"/>
      <c r="C47" s="7" t="n">
        <v>2</v>
      </c>
      <c r="D47" s="7" t="inlineStr">
        <is>
          <t>Superviseur</t>
        </is>
      </c>
      <c r="E47" s="7" t="inlineStr">
        <is>
          <t>Consulte les alertes actives (ticket non pris en charge, sans activité, SLA).</t>
        </is>
      </c>
      <c r="F47" s="7" t="inlineStr">
        <is>
          <t>Les alertes correspondent aux règles paramétrées (ALE-01, ALE-02).</t>
        </is>
      </c>
      <c r="G47" s="7" t="inlineStr">
        <is>
          <t>Non testé</t>
        </is>
      </c>
      <c r="H47" s="7" t="n"/>
      <c r="I47" s="7" t="n"/>
      <c r="J47" s="7" t="n"/>
    </row>
    <row r="48" ht="44" customHeight="1">
      <c r="A48" s="7" t="n">
        <v>47</v>
      </c>
      <c r="B48" s="9" t="n"/>
      <c r="C48" s="7" t="n">
        <v>3</v>
      </c>
      <c r="D48" s="7" t="inlineStr">
        <is>
          <t>Superviseur</t>
        </is>
      </c>
      <c r="E48" s="7" t="inlineStr">
        <is>
          <t>Affecte un ticket non pris en charge à un opérateur précis.</t>
        </is>
      </c>
      <c r="F48" s="7" t="inlineStr">
        <is>
          <t>L'affectation directe fonctionne (PEC-05, SUP-04).</t>
        </is>
      </c>
      <c r="G48" s="7" t="inlineStr">
        <is>
          <t>Non testé</t>
        </is>
      </c>
      <c r="H48" s="7" t="n"/>
      <c r="I48" s="7" t="n"/>
      <c r="J48" s="7" t="n"/>
    </row>
    <row r="49" ht="44" customHeight="1">
      <c r="A49" s="7" t="n">
        <v>48</v>
      </c>
      <c r="B49" s="10" t="n"/>
      <c r="C49" s="7" t="n">
        <v>4</v>
      </c>
      <c r="D49" s="7" t="inlineStr">
        <is>
          <t>Superviseur</t>
        </is>
      </c>
      <c r="E49" s="7" t="inlineStr">
        <is>
          <t>Débloque un ticket bloqué.</t>
        </is>
      </c>
      <c r="F49" s="7" t="inlineStr">
        <is>
          <t>L'intervention est possible et tracée (SUP-04).</t>
        </is>
      </c>
      <c r="G49" s="7" t="inlineStr">
        <is>
          <t>Non testé</t>
        </is>
      </c>
      <c r="H49" s="7" t="n"/>
      <c r="I49" s="7" t="n"/>
      <c r="J49" s="7" t="n"/>
    </row>
    <row r="50" ht="44" customHeight="1">
      <c r="A50" s="7" t="n">
        <v>49</v>
      </c>
      <c r="B50" s="11" t="inlineStr">
        <is>
          <t>S14 — Transverse (notifications, cloisonnement, audit)</t>
        </is>
      </c>
      <c r="C50" s="7" t="n">
        <v>1</v>
      </c>
      <c r="D50" s="7" t="inlineStr">
        <is>
          <t>Système</t>
        </is>
      </c>
      <c r="E50" s="7" t="inlineStr">
        <is>
          <t>Déclenche un événement de workflow sur chaque canal configuré (e-mail, portail, WhatsApp/SMS).</t>
        </is>
      </c>
      <c r="F50" s="7" t="inlineStr">
        <is>
          <t>Chaque notification comporte un lien direct vers le ticket concerné (COM-01, COM-02).</t>
        </is>
      </c>
      <c r="G50" s="7" t="inlineStr">
        <is>
          <t>Non testé</t>
        </is>
      </c>
      <c r="H50" s="7" t="n"/>
      <c r="I50" s="7" t="n"/>
      <c r="J50" s="7" t="n"/>
    </row>
    <row r="51" ht="44" customHeight="1">
      <c r="A51" s="7" t="n">
        <v>50</v>
      </c>
      <c r="B51" s="12" t="n"/>
      <c r="C51" s="7" t="n">
        <v>2</v>
      </c>
      <c r="D51" s="7" t="inlineStr">
        <is>
          <t>Agent Guichet</t>
        </is>
      </c>
      <c r="E51" s="7" t="inlineStr">
        <is>
          <t>Recherche un ticket par numéro/client/BL au guichet et reprend un dossier commencé en ligne.</t>
        </is>
      </c>
      <c r="F51" s="7" t="inlineStr">
        <is>
          <t>Continuité digital/présentiel sans ressaisie (CON-01, CON-02).</t>
        </is>
      </c>
      <c r="G51" s="7" t="inlineStr">
        <is>
          <t>Non testé</t>
        </is>
      </c>
      <c r="H51" s="7" t="n"/>
      <c r="I51" s="7" t="n"/>
      <c r="J51" s="7" t="n"/>
    </row>
    <row r="52" ht="44" customHeight="1">
      <c r="A52" s="7" t="n">
        <v>51</v>
      </c>
      <c r="B52" s="12" t="n"/>
      <c r="C52" s="7" t="n">
        <v>3</v>
      </c>
      <c r="D52" s="7" t="inlineStr">
        <is>
          <t>Client</t>
        </is>
      </c>
      <c r="E52" s="7" t="inlineStr">
        <is>
          <t>Prend un rendez-vous depuis la plateforme.</t>
        </is>
      </c>
      <c r="F52" s="7" t="inlineStr">
        <is>
          <t>Le rendez-vous donne accès au bureau de facturation, rattaché au ticket/dossier (CON-03).</t>
        </is>
      </c>
      <c r="G52" s="7" t="inlineStr">
        <is>
          <t>Non testé</t>
        </is>
      </c>
      <c r="H52" s="7" t="n"/>
      <c r="I52" s="7" t="n"/>
      <c r="J52" s="7" t="n"/>
    </row>
    <row r="53" ht="44" customHeight="1">
      <c r="A53" s="7" t="n">
        <v>52</v>
      </c>
      <c r="B53" s="12" t="n"/>
      <c r="C53" s="7" t="n">
        <v>4</v>
      </c>
      <c r="D53" s="7" t="inlineStr">
        <is>
          <t>Système</t>
        </is>
      </c>
      <c r="E53" s="7" t="inlineStr">
        <is>
          <t>Regroupe les tickets d'une même demande multi-BL/booking.</t>
        </is>
      </c>
      <c r="F53" s="7" t="inlineStr">
        <is>
          <t>Un même numéro de dossier les rassemble (SOC-11).</t>
        </is>
      </c>
      <c r="G53" s="7" t="inlineStr">
        <is>
          <t>Non testé</t>
        </is>
      </c>
      <c r="H53" s="7" t="n"/>
      <c r="I53" s="7" t="n"/>
      <c r="J53" s="7" t="n"/>
    </row>
    <row r="54" ht="44" customHeight="1">
      <c r="A54" s="7" t="n">
        <v>53</v>
      </c>
      <c r="B54" s="12" t="n"/>
      <c r="C54" s="7" t="n">
        <v>5</v>
      </c>
      <c r="D54" s="7" t="inlineStr">
        <is>
          <t>Testeur (compte client A)</t>
        </is>
      </c>
      <c r="E54" s="7" t="inlineStr">
        <is>
          <t>Tente de consulter un ticket d'un client B.</t>
        </is>
      </c>
      <c r="F54" s="7" t="inlineStr">
        <is>
          <t>Accès refusé — cloisonnement strict (SEC-03, CPT-04).</t>
        </is>
      </c>
      <c r="G54" s="7" t="inlineStr">
        <is>
          <t>Non testé</t>
        </is>
      </c>
      <c r="H54" s="7" t="n"/>
      <c r="I54" s="7" t="n"/>
      <c r="J54" s="7" t="n"/>
    </row>
    <row r="55" ht="44" customHeight="1">
      <c r="A55" s="7" t="n">
        <v>54</v>
      </c>
      <c r="B55" s="12" t="n"/>
      <c r="C55" s="7" t="n">
        <v>6</v>
      </c>
      <c r="D55" s="7" t="inlineStr">
        <is>
          <t>Testeur (agent d'un autre rôle)</t>
        </is>
      </c>
      <c r="E55" s="7" t="inlineStr">
        <is>
          <t>Tente d'accéder à une file d'un rôle qu'il ne détient pas.</t>
        </is>
      </c>
      <c r="F55" s="7" t="inlineStr">
        <is>
          <t>Accès refusé (SEC-02, SEC-03).</t>
        </is>
      </c>
      <c r="G55" s="7" t="inlineStr">
        <is>
          <t>Non testé</t>
        </is>
      </c>
      <c r="H55" s="7" t="n"/>
      <c r="I55" s="7" t="n"/>
      <c r="J55" s="7" t="n"/>
    </row>
    <row r="56" ht="44" customHeight="1">
      <c r="A56" s="7" t="n">
        <v>55</v>
      </c>
      <c r="B56" s="13" t="n"/>
      <c r="C56" s="7" t="n">
        <v>7</v>
      </c>
      <c r="D56" s="7" t="inlineStr">
        <is>
          <t>Administrateur</t>
        </is>
      </c>
      <c r="E56" s="7" t="inlineStr">
        <is>
          <t>Consulte le journal d'audit.</t>
        </is>
      </c>
      <c r="F56" s="7" t="inlineStr">
        <is>
          <t>Chaque action (création, prise en charge, statut, dépôt, décision, transfert, réaffectation, téléchargement, connexion) est tracée avec auteur et horodatage (SOC-13, SEC-05).</t>
        </is>
      </c>
      <c r="G56" s="7" t="inlineStr">
        <is>
          <t>Non testé</t>
        </is>
      </c>
      <c r="H56" s="7" t="n"/>
      <c r="I56" s="7" t="n"/>
      <c r="J56" s="7" t="n"/>
    </row>
    <row r="57" ht="44" customHeight="1">
      <c r="A57" s="7" t="n">
        <v>56</v>
      </c>
      <c r="B57" s="8" t="inlineStr">
        <is>
          <t>S15 — Cycle de vie (annulation, réouverture)</t>
        </is>
      </c>
      <c r="C57" s="7" t="n">
        <v>1</v>
      </c>
      <c r="D57" s="7" t="inlineStr">
        <is>
          <t>Client</t>
        </is>
      </c>
      <c r="E57" s="7" t="inlineStr">
        <is>
          <t>Annule lui-même un ticket avant tout traitement engageant.</t>
        </is>
      </c>
      <c r="F57" s="7" t="inlineStr">
        <is>
          <t>L'annulation directe fonctionne tant qu'aucun document officiel n'est produit (CYC-01).</t>
        </is>
      </c>
      <c r="G57" s="7" t="inlineStr">
        <is>
          <t>Non testé</t>
        </is>
      </c>
      <c r="H57" s="7" t="n"/>
      <c r="I57" s="7" t="n"/>
      <c r="J57" s="7" t="n"/>
    </row>
    <row r="58" ht="44" customHeight="1">
      <c r="A58" s="7" t="n">
        <v>57</v>
      </c>
      <c r="B58" s="9" t="n"/>
      <c r="C58" s="7" t="n">
        <v>2</v>
      </c>
      <c r="D58" s="7" t="inlineStr">
        <is>
          <t>Client</t>
        </is>
      </c>
      <c r="E58" s="7" t="inlineStr">
        <is>
          <t>Tente d'annuler un ticket après un état engageant (ex. paiement confirmé).</t>
        </is>
      </c>
      <c r="F58" s="7" t="inlineStr">
        <is>
          <t>L'annulation directe n'est plus proposée ; seule une demande d'annulation motivée est possible (CYC-02, CYC-05).</t>
        </is>
      </c>
      <c r="G58" s="7" t="inlineStr">
        <is>
          <t>Non testé</t>
        </is>
      </c>
      <c r="H58" s="7" t="n"/>
      <c r="I58" s="7" t="n"/>
      <c r="J58" s="7" t="n"/>
    </row>
    <row r="59" ht="44" customHeight="1">
      <c r="A59" s="7" t="n">
        <v>58</v>
      </c>
      <c r="B59" s="9" t="n"/>
      <c r="C59" s="7" t="n">
        <v>3</v>
      </c>
      <c r="D59" s="7" t="inlineStr">
        <is>
          <t>Système</t>
        </is>
      </c>
      <c r="E59" s="7" t="inlineStr">
        <is>
          <t>Relance un ticket en attente d'action client au-delà du délai paramétré.</t>
        </is>
      </c>
      <c r="F59" s="7" t="inlineStr">
        <is>
          <t>Relances automatiques puis suggestion de clôture pour absence de réponse — jamais une clôture automatique (CYC-04).</t>
        </is>
      </c>
      <c r="G59" s="7" t="inlineStr">
        <is>
          <t>Non testé</t>
        </is>
      </c>
      <c r="H59" s="7" t="n"/>
      <c r="I59" s="7" t="n"/>
      <c r="J59" s="7" t="n"/>
    </row>
    <row r="60" ht="44" customHeight="1">
      <c r="A60" s="7" t="n">
        <v>59</v>
      </c>
      <c r="B60" s="9" t="n"/>
      <c r="C60" s="7" t="n">
        <v>4</v>
      </c>
      <c r="D60" s="7" t="inlineStr">
        <is>
          <t>Utilisateur CIT habilité</t>
        </is>
      </c>
      <c r="E60" s="7" t="inlineStr">
        <is>
          <t>Rouvre un ticket clôturé avec un motif.</t>
        </is>
      </c>
      <c r="F60" s="7" t="inlineStr">
        <is>
          <t>Le ticket conserve son numéro, son historique, ses documents et ses échanges (CYC-06).</t>
        </is>
      </c>
      <c r="G60" s="7" t="inlineStr">
        <is>
          <t>Non testé</t>
        </is>
      </c>
      <c r="H60" s="7" t="n"/>
      <c r="I60" s="7" t="n"/>
      <c r="J60" s="7" t="n"/>
    </row>
    <row r="61" ht="44" customHeight="1">
      <c r="A61" s="7" t="n">
        <v>60</v>
      </c>
      <c r="B61" s="10" t="n"/>
      <c r="C61" s="7" t="n">
        <v>5</v>
      </c>
      <c r="D61" s="7" t="inlineStr">
        <is>
          <t>Client</t>
        </is>
      </c>
      <c r="E61" s="7" t="inlineStr">
        <is>
          <t>Tente de rouvrir directement un ticket clôturé.</t>
        </is>
      </c>
      <c r="F61" s="7" t="inlineStr">
        <is>
          <t>Refusé — seule une demande de réouverture ou une nouvelle demande est possible (CYC-07).</t>
        </is>
      </c>
      <c r="G61" s="7" t="inlineStr">
        <is>
          <t>Non testé</t>
        </is>
      </c>
      <c r="H61" s="7" t="n"/>
      <c r="I61" s="7" t="n"/>
      <c r="J61" s="7" t="n"/>
    </row>
  </sheetData>
  <autoFilter ref="A1:J61"/>
  <mergeCells count="14">
    <mergeCell ref="B43:B45"/>
    <mergeCell ref="B12:B14"/>
    <mergeCell ref="B57:B61"/>
    <mergeCell ref="B2:B11"/>
    <mergeCell ref="B18:B21"/>
    <mergeCell ref="B30:B32"/>
    <mergeCell ref="B15:B17"/>
    <mergeCell ref="B22:B26"/>
    <mergeCell ref="B33:B36"/>
    <mergeCell ref="B46:B49"/>
    <mergeCell ref="B50:B56"/>
    <mergeCell ref="B40:B41"/>
    <mergeCell ref="B27:B29"/>
    <mergeCell ref="B37:B39"/>
  </mergeCells>
  <dataValidations count="1">
    <dataValidation sqref="G2:G61" showDropDown="0" showInputMessage="0" showErrorMessage="0" allowBlank="1" type="list">
      <formula1>"Non teste,Conforme,Non conforme,Non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22" customWidth="1" min="4" max="4"/>
    <col width="55" customWidth="1" min="5" max="5"/>
    <col width="26" customWidth="1" min="6" max="6"/>
    <col width="14" customWidth="1" min="7" max="7"/>
    <col width="12" customWidth="1" min="8" max="8"/>
    <col width="11" customWidth="1" min="9" max="9"/>
    <col width="26" customWidth="1" min="10" max="10"/>
  </cols>
  <sheetData>
    <row r="1" ht="22" customHeight="1">
      <c r="A1" s="6" t="inlineStr">
        <is>
          <t>Réf.</t>
        </is>
      </c>
      <c r="B1" s="6" t="inlineStr">
        <is>
          <t>Priorité</t>
        </is>
      </c>
      <c r="C1" s="6" t="inlineStr">
        <is>
          <t>Module</t>
        </is>
      </c>
      <c r="D1" s="6" t="inlineStr">
        <is>
          <t>Rôle(s) acteur(s)</t>
        </is>
      </c>
      <c r="E1" s="6" t="inlineStr">
        <is>
          <t>Exigence (texte CDC)</t>
        </is>
      </c>
      <c r="F1" s="6" t="inlineStr">
        <is>
          <t>Écran / route à vérifier</t>
        </is>
      </c>
      <c r="G1" s="6" t="inlineStr">
        <is>
          <t>Statut</t>
        </is>
      </c>
      <c r="H1" s="6" t="inlineStr">
        <is>
          <t>Testeur</t>
        </is>
      </c>
      <c r="I1" s="6" t="inlineStr">
        <is>
          <t>Date</t>
        </is>
      </c>
      <c r="J1" s="6" t="inlineStr">
        <is>
          <t>Commentaire</t>
        </is>
      </c>
    </row>
    <row r="2" ht="40" customHeight="1">
      <c r="A2" s="14" t="inlineStr">
        <is>
          <t>SOC-01</t>
        </is>
      </c>
      <c r="B2" s="15" t="inlineStr">
        <is>
          <t>Must</t>
        </is>
      </c>
      <c r="C2" s="7" t="inlineStr">
        <is>
          <t>Socle — Tickets</t>
        </is>
      </c>
      <c r="D2" s="7" t="inlineStr">
        <is>
          <t>Tous rôles</t>
        </is>
      </c>
      <c r="E2" s="7" t="inlineStr">
        <is>
          <t>Toute demande soumise génère un ticket avec un numéro unique, communiqué au client (portail + e-mail).</t>
        </is>
      </c>
      <c r="F2" s="7" t="inlineStr">
        <is>
          <t>Tous formulaires de soumission</t>
        </is>
      </c>
      <c r="G2" s="7" t="inlineStr">
        <is>
          <t>Non testé</t>
        </is>
      </c>
      <c r="H2" s="7" t="n"/>
      <c r="I2" s="7" t="n"/>
      <c r="J2" s="7" t="n"/>
    </row>
    <row r="3" ht="40" customHeight="1">
      <c r="A3" s="14" t="inlineStr">
        <is>
          <t>SOC-02</t>
        </is>
      </c>
      <c r="B3" s="15" t="inlineStr">
        <is>
          <t>Must</t>
        </is>
      </c>
      <c r="C3" s="7" t="inlineStr">
        <is>
          <t>Socle — Tickets</t>
        </is>
      </c>
      <c r="D3" s="7" t="inlineStr">
        <is>
          <t>Tous rôles</t>
        </is>
      </c>
      <c r="E3" s="7" t="inlineStr">
        <is>
          <t>Le ticket centralise : documents joints, statut, historique horodaté, échanges client/agent, décisions et motifs de rejet, documents produits en fin de traitement.</t>
        </is>
      </c>
      <c r="F3" s="7" t="inlineStr">
        <is>
          <t>Détail d'un ticket</t>
        </is>
      </c>
      <c r="G3" s="7" t="inlineStr">
        <is>
          <t>Non testé</t>
        </is>
      </c>
      <c r="H3" s="7" t="n"/>
      <c r="I3" s="7" t="n"/>
      <c r="J3" s="7" t="n"/>
    </row>
    <row r="4" ht="40" customHeight="1">
      <c r="A4" s="14" t="inlineStr">
        <is>
          <t>SOC-03</t>
        </is>
      </c>
      <c r="B4" s="15" t="inlineStr">
        <is>
          <t>Must</t>
        </is>
      </c>
      <c r="C4" s="7" t="inlineStr">
        <is>
          <t>Socle — Tickets</t>
        </is>
      </c>
      <c r="D4" s="7" t="inlineStr">
        <is>
          <t>Tous rôles</t>
        </is>
      </c>
      <c r="E4" s="7" t="inlineStr">
        <is>
          <t>Chaque ticket suit un workflow d'étapes et de statuts propre à son module et, pour le Billing Office, au type de client.</t>
        </is>
      </c>
      <c r="F4" s="7" t="inlineStr">
        <is>
          <t>Détail d'un ticket</t>
        </is>
      </c>
      <c r="G4" s="7" t="inlineStr">
        <is>
          <t>Non testé</t>
        </is>
      </c>
      <c r="H4" s="7" t="n"/>
      <c r="I4" s="7" t="n"/>
      <c r="J4" s="7" t="n"/>
    </row>
    <row r="5" ht="40" customHeight="1">
      <c r="A5" s="14" t="inlineStr">
        <is>
          <t>SOC-04</t>
        </is>
      </c>
      <c r="B5" s="15" t="inlineStr">
        <is>
          <t>Must</t>
        </is>
      </c>
      <c r="C5" s="7" t="inlineStr">
        <is>
          <t>Socle — Tickets</t>
        </is>
      </c>
      <c r="D5" s="7" t="inlineStr">
        <is>
          <t>Agent</t>
        </is>
      </c>
      <c r="E5" s="7" t="inlineStr">
        <is>
          <t>Files de traitement par rôle : chaque agent voit les tickets en attente de son rôle, avec tri et filtres (date, type de client, statut, priorité).</t>
        </is>
      </c>
      <c r="F5" s="7" t="inlineStr">
        <is>
          <t>Files agent (ex. /billing-import/manifeste)</t>
        </is>
      </c>
      <c r="G5" s="7" t="inlineStr">
        <is>
          <t>Non testé</t>
        </is>
      </c>
      <c r="H5" s="7" t="n"/>
      <c r="I5" s="7" t="n"/>
      <c r="J5" s="7" t="n"/>
    </row>
    <row r="6" ht="40" customHeight="1">
      <c r="A6" s="14" t="inlineStr">
        <is>
          <t>SOC-05</t>
        </is>
      </c>
      <c r="B6" s="15" t="inlineStr">
        <is>
          <t>Must</t>
        </is>
      </c>
      <c r="C6" s="7" t="inlineStr">
        <is>
          <t>Socle — Tickets</t>
        </is>
      </c>
      <c r="D6" s="7" t="inlineStr">
        <is>
          <t>Client, Agent</t>
        </is>
      </c>
      <c r="E6" s="7" t="inlineStr">
        <is>
          <t>Fil de commentaires (chat) par ticket entre le client et les agents, horodaté, conservé dans l'historique.</t>
        </is>
      </c>
      <c r="F6" s="7" t="inlineStr">
        <is>
          <t>Détail d'un ticket</t>
        </is>
      </c>
      <c r="G6" s="7" t="inlineStr">
        <is>
          <t>Non testé</t>
        </is>
      </c>
      <c r="H6" s="7" t="n"/>
      <c r="I6" s="7" t="n"/>
      <c r="J6" s="7" t="n"/>
    </row>
    <row r="7" ht="40" customHeight="1">
      <c r="A7" s="14" t="inlineStr">
        <is>
          <t>SOC-06</t>
        </is>
      </c>
      <c r="B7" s="15" t="inlineStr">
        <is>
          <t>Must</t>
        </is>
      </c>
      <c r="C7" s="7" t="inlineStr">
        <is>
          <t>Socle — Tickets</t>
        </is>
      </c>
      <c r="D7" s="7" t="inlineStr">
        <is>
          <t>Agent</t>
        </is>
      </c>
      <c r="E7" s="7" t="inlineStr">
        <is>
          <t>Actions de workflow standard : valider, rejeter avec motif obligatoire, demander un complément.</t>
        </is>
      </c>
      <c r="F7" s="7" t="inlineStr">
        <is>
          <t>Détail d'un ticket (agent)</t>
        </is>
      </c>
      <c r="G7" s="7" t="inlineStr">
        <is>
          <t>Non testé</t>
        </is>
      </c>
      <c r="H7" s="7" t="n"/>
      <c r="I7" s="7" t="n"/>
      <c r="J7" s="7" t="n"/>
    </row>
    <row r="8" ht="40" customHeight="1">
      <c r="A8" s="14" t="inlineStr">
        <is>
          <t>SOC-07</t>
        </is>
      </c>
      <c r="B8" s="15" t="inlineStr">
        <is>
          <t>Must</t>
        </is>
      </c>
      <c r="C8" s="7" t="inlineStr">
        <is>
          <t>Socle — Tickets</t>
        </is>
      </c>
      <c r="D8" s="7" t="inlineStr">
        <is>
          <t>Client, Agent</t>
        </is>
      </c>
      <c r="E8" s="7" t="inlineStr">
        <is>
          <t>Dépôt de documents par le client et par les agents, avec types de pièces paramétrables par étape ; formats et taille maximale configurables.</t>
        </is>
      </c>
      <c r="F8" s="7" t="inlineStr">
        <is>
          <t>Détail d'un ticket / /administration/pieces-exigees-etape</t>
        </is>
      </c>
      <c r="G8" s="7" t="inlineStr">
        <is>
          <t>Non testé</t>
        </is>
      </c>
      <c r="H8" s="7" t="n"/>
      <c r="I8" s="7" t="n"/>
      <c r="J8" s="7" t="n"/>
    </row>
    <row r="9" ht="40" customHeight="1">
      <c r="A9" s="14" t="inlineStr">
        <is>
          <t>SOC-08</t>
        </is>
      </c>
      <c r="B9" s="15" t="inlineStr">
        <is>
          <t>Must</t>
        </is>
      </c>
      <c r="C9" s="7" t="inlineStr">
        <is>
          <t>Socle — Tickets</t>
        </is>
      </c>
      <c r="D9" s="7" t="inlineStr">
        <is>
          <t>Client</t>
        </is>
      </c>
      <c r="E9" s="7" t="inlineStr">
        <is>
          <t>Statuts visibles par le client en temps réel sur son profil, sur chaque ticket.</t>
        </is>
      </c>
      <c r="F9" s="7" t="inlineStr">
        <is>
          <t>/client/demandes, détail d'un ticket</t>
        </is>
      </c>
      <c r="G9" s="7" t="inlineStr">
        <is>
          <t>Non testé</t>
        </is>
      </c>
      <c r="H9" s="7" t="n"/>
      <c r="I9" s="7" t="n"/>
      <c r="J9" s="7" t="n"/>
    </row>
    <row r="10" ht="40" customHeight="1">
      <c r="A10" s="14" t="inlineStr">
        <is>
          <t>SOC-09</t>
        </is>
      </c>
      <c r="B10" s="15" t="inlineStr">
        <is>
          <t>Must</t>
        </is>
      </c>
      <c r="C10" s="7" t="inlineStr">
        <is>
          <t>Socle — Tickets</t>
        </is>
      </c>
      <c r="D10" s="7" t="inlineStr">
        <is>
          <t>Client, Agent</t>
        </is>
      </c>
      <c r="E10" s="7" t="inlineStr">
        <is>
          <t>Clôture d'un ticket suivie d'un archivage automatique ; archives consultables (historique complet, traçabilité, accès permanent).</t>
        </is>
      </c>
      <c r="F10" s="7" t="inlineStr">
        <is>
          <t>/administration/archives (§17.3)</t>
        </is>
      </c>
      <c r="G10" s="7" t="inlineStr">
        <is>
          <t>Non testé</t>
        </is>
      </c>
      <c r="H10" s="7" t="n"/>
      <c r="I10" s="7" t="n"/>
      <c r="J10" s="7" t="n"/>
    </row>
    <row r="11" ht="40" customHeight="1">
      <c r="A11" s="14" t="inlineStr">
        <is>
          <t>SOC-10</t>
        </is>
      </c>
      <c r="B11" s="15" t="inlineStr">
        <is>
          <t>Must</t>
        </is>
      </c>
      <c r="C11" s="7" t="inlineStr">
        <is>
          <t>Socle — Tickets</t>
        </is>
      </c>
      <c r="D11" s="7" t="inlineStr">
        <is>
          <t>Agent</t>
        </is>
      </c>
      <c r="E11" s="7" t="inlineStr">
        <is>
          <t>Liaison entre tickets : possibilité d'associer des tickets entre eux (y compris entre modules).</t>
        </is>
      </c>
      <c r="F11" s="7" t="inlineStr">
        <is>
          <t>Détail d'un ticket</t>
        </is>
      </c>
      <c r="G11" s="7" t="inlineStr">
        <is>
          <t>Non testé</t>
        </is>
      </c>
      <c r="H11" s="7" t="n"/>
      <c r="I11" s="7" t="n"/>
      <c r="J11" s="7" t="n"/>
    </row>
    <row r="12" ht="40" customHeight="1">
      <c r="A12" s="14" t="inlineStr">
        <is>
          <t>SOC-11</t>
        </is>
      </c>
      <c r="B12" s="15" t="inlineStr">
        <is>
          <t>Must</t>
        </is>
      </c>
      <c r="C12" s="7" t="inlineStr">
        <is>
          <t>Socle — Tickets</t>
        </is>
      </c>
      <c r="D12" s="7" t="inlineStr">
        <is>
          <t>Client, Agent</t>
        </is>
      </c>
      <c r="E12" s="7" t="inlineStr">
        <is>
          <t>Dossier : les tickets d'une même demande (multi-BL/booking) sont regroupés sous un numéro de dossier unique.</t>
        </is>
      </c>
      <c r="F12" s="7" t="inlineStr">
        <is>
          <t>/client/demandes</t>
        </is>
      </c>
      <c r="G12" s="7" t="inlineStr">
        <is>
          <t>Non testé</t>
        </is>
      </c>
      <c r="H12" s="7" t="n"/>
      <c r="I12" s="7" t="n"/>
      <c r="J12" s="7" t="n"/>
    </row>
    <row r="13" ht="40" customHeight="1">
      <c r="A13" s="14" t="inlineStr">
        <is>
          <t>SOC-12</t>
        </is>
      </c>
      <c r="B13" s="15" t="inlineStr">
        <is>
          <t>Must</t>
        </is>
      </c>
      <c r="C13" s="7" t="inlineStr">
        <is>
          <t>Socle — Tickets</t>
        </is>
      </c>
      <c r="D13" s="7" t="inlineStr">
        <is>
          <t>Agent, Superviseur</t>
        </is>
      </c>
      <c r="E13" s="7" t="inlineStr">
        <is>
          <t>Prise en charge : distinction arrivée en file / prise en charge effective, avec horodatages (arrivée, prise en charge, opérateur, début, dernière activité).</t>
        </is>
      </c>
      <c r="F13" s="7" t="inlineStr">
        <is>
          <t>Files agent, /supervision</t>
        </is>
      </c>
      <c r="G13" s="7" t="inlineStr">
        <is>
          <t>Non testé</t>
        </is>
      </c>
      <c r="H13" s="7" t="n"/>
      <c r="I13" s="7" t="n"/>
      <c r="J13" s="7" t="n"/>
    </row>
    <row r="14" ht="40" customHeight="1">
      <c r="A14" s="14" t="inlineStr">
        <is>
          <t>SOC-13</t>
        </is>
      </c>
      <c r="B14" s="15" t="inlineStr">
        <is>
          <t>Must</t>
        </is>
      </c>
      <c r="C14" s="7" t="inlineStr">
        <is>
          <t>Socle — Tickets</t>
        </is>
      </c>
      <c r="D14" s="7" t="inlineStr">
        <is>
          <t>Administration CIT</t>
        </is>
      </c>
      <c r="E14" s="7" t="inlineStr">
        <is>
          <t>Journal d'audit inviolable : toute action tracée avec auteur, date/heure et détail.</t>
        </is>
      </c>
      <c r="F14" s="7" t="inlineStr">
        <is>
          <t>/administration/audit</t>
        </is>
      </c>
      <c r="G14" s="7" t="inlineStr">
        <is>
          <t>Non testé</t>
        </is>
      </c>
      <c r="H14" s="7" t="n"/>
      <c r="I14" s="7" t="n"/>
      <c r="J14" s="7" t="n"/>
    </row>
    <row r="15" ht="40" customHeight="1">
      <c r="A15" s="14" t="inlineStr">
        <is>
          <t>SOC-14</t>
        </is>
      </c>
      <c r="B15" s="16" t="inlineStr">
        <is>
          <t>Could</t>
        </is>
      </c>
      <c r="C15" s="7" t="inlineStr">
        <is>
          <t>Socle — Tickets</t>
        </is>
      </c>
      <c r="D15" s="7" t="inlineStr">
        <is>
          <t>Agent, Superviseur</t>
        </is>
      </c>
      <c r="E15" s="7" t="inlineStr">
        <is>
          <t>Export des indicateurs et des listes de tickets aux formats usuels (Excel, PDF).</t>
        </is>
      </c>
      <c r="F15" s="7" t="inlineStr">
        <is>
          <t>Écrans de listes de tickets</t>
        </is>
      </c>
      <c r="G15" s="7" t="inlineStr">
        <is>
          <t>Non testé</t>
        </is>
      </c>
      <c r="H15" s="7" t="n"/>
      <c r="I15" s="7" t="n"/>
      <c r="J15" s="7" t="n"/>
    </row>
    <row r="16" ht="40" customHeight="1">
      <c r="A16" s="14" t="inlineStr">
        <is>
          <t>CYC-01</t>
        </is>
      </c>
      <c r="B16" s="15" t="inlineStr">
        <is>
          <t>Must</t>
        </is>
      </c>
      <c r="C16" s="7" t="inlineStr">
        <is>
          <t>Cycle de vie</t>
        </is>
      </c>
      <c r="D16" s="7" t="inlineStr">
        <is>
          <t>Client</t>
        </is>
      </c>
      <c r="E16" s="7" t="inlineStr">
        <is>
          <t>Le client peut annuler lui-même un ticket tant qu'aucun traitement engageant n'a été produit ; les étapes limites sont paramétrables.</t>
        </is>
      </c>
      <c r="F16" s="7" t="inlineStr">
        <is>
          <t>Détail d'un ticket (client)</t>
        </is>
      </c>
      <c r="G16" s="7" t="inlineStr">
        <is>
          <t>Non testé</t>
        </is>
      </c>
      <c r="H16" s="7" t="n"/>
      <c r="I16" s="7" t="n"/>
      <c r="J16" s="7" t="n"/>
    </row>
    <row r="17" ht="40" customHeight="1">
      <c r="A17" s="14" t="inlineStr">
        <is>
          <t>CYC-02</t>
        </is>
      </c>
      <c r="B17" s="15" t="inlineStr">
        <is>
          <t>Must</t>
        </is>
      </c>
      <c r="C17" s="7" t="inlineStr">
        <is>
          <t>Cycle de vie</t>
        </is>
      </c>
      <c r="D17" s="7" t="inlineStr">
        <is>
          <t>Client, Agent</t>
        </is>
      </c>
      <c r="E17" s="7" t="inlineStr">
        <is>
          <t>Après le point de non-retour, le client soumet une demande d'annulation transmise à la file/au responsable habilité.</t>
        </is>
      </c>
      <c r="F17" s="7" t="inlineStr">
        <is>
          <t>Détail d'un ticket</t>
        </is>
      </c>
      <c r="G17" s="7" t="inlineStr">
        <is>
          <t>Non testé</t>
        </is>
      </c>
      <c r="H17" s="7" t="n"/>
      <c r="I17" s="7" t="n"/>
      <c r="J17" s="7" t="n"/>
    </row>
    <row r="18" ht="40" customHeight="1">
      <c r="A18" s="14" t="inlineStr">
        <is>
          <t>CYC-03</t>
        </is>
      </c>
      <c r="B18" s="15" t="inlineStr">
        <is>
          <t>Must</t>
        </is>
      </c>
      <c r="C18" s="7" t="inlineStr">
        <is>
          <t>Cycle de vie</t>
        </is>
      </c>
      <c r="D18" s="7" t="inlineStr">
        <is>
          <t>Client, Agent</t>
        </is>
      </c>
      <c r="E18" s="7" t="inlineStr">
        <is>
          <t>Toute annulation ou demande d'annulation est motivée, horodatée et conservée dans l'historique.</t>
        </is>
      </c>
      <c r="F18" s="7" t="inlineStr">
        <is>
          <t>Détail d'un ticket</t>
        </is>
      </c>
      <c r="G18" s="7" t="inlineStr">
        <is>
          <t>Non testé</t>
        </is>
      </c>
      <c r="H18" s="7" t="n"/>
      <c r="I18" s="7" t="n"/>
      <c r="J18" s="7" t="n"/>
    </row>
    <row r="19" ht="40" customHeight="1">
      <c r="A19" s="14" t="inlineStr">
        <is>
          <t>CYC-04</t>
        </is>
      </c>
      <c r="B19" s="15" t="inlineStr">
        <is>
          <t>Must</t>
        </is>
      </c>
      <c r="C19" s="7" t="inlineStr">
        <is>
          <t>Cycle de vie</t>
        </is>
      </c>
      <c r="D19" s="7" t="inlineStr">
        <is>
          <t>Système, Agent</t>
        </is>
      </c>
      <c r="E19" s="7" t="inlineStr">
        <is>
          <t>Relances automatiques paramétrables en attente client ; suggestion de clôture pour absence de réponse — jamais automatique.</t>
        </is>
      </c>
      <c r="F19" s="7" t="inlineStr">
        <is>
          <t>Détail d'un ticket, moteur de notifications</t>
        </is>
      </c>
      <c r="G19" s="7" t="inlineStr">
        <is>
          <t>Non testé</t>
        </is>
      </c>
      <c r="H19" s="7" t="n"/>
      <c r="I19" s="7" t="n"/>
      <c r="J19" s="7" t="n"/>
    </row>
    <row r="20" ht="40" customHeight="1">
      <c r="A20" s="14" t="inlineStr">
        <is>
          <t>CYC-05</t>
        </is>
      </c>
      <c r="B20" s="15" t="inlineStr">
        <is>
          <t>Must</t>
        </is>
      </c>
      <c r="C20" s="7" t="inlineStr">
        <is>
          <t>Cycle de vie</t>
        </is>
      </c>
      <c r="D20" s="7" t="inlineStr">
        <is>
          <t>Système</t>
        </is>
      </c>
      <c r="E20" s="7" t="inlineStr">
        <is>
          <t>La suggestion de clôture pour absence de réponse n'est jamais proposée après un état engageant (ex. paiement confirmé).</t>
        </is>
      </c>
      <c r="F20" s="7" t="inlineStr">
        <is>
          <t>Moteur de workflow</t>
        </is>
      </c>
      <c r="G20" s="7" t="inlineStr">
        <is>
          <t>Non testé</t>
        </is>
      </c>
      <c r="H20" s="7" t="n"/>
      <c r="I20" s="7" t="n"/>
      <c r="J20" s="7" t="n"/>
    </row>
    <row r="21" ht="40" customHeight="1">
      <c r="A21" s="14" t="inlineStr">
        <is>
          <t>CYC-06</t>
        </is>
      </c>
      <c r="B21" s="17" t="inlineStr">
        <is>
          <t>Should</t>
        </is>
      </c>
      <c r="C21" s="7" t="inlineStr">
        <is>
          <t>Cycle de vie</t>
        </is>
      </c>
      <c r="D21" s="7" t="inlineStr">
        <is>
          <t>Agent habilité CIT</t>
        </is>
      </c>
      <c r="E21" s="7" t="inlineStr">
        <is>
          <t>Un ticket clôturé peut être rouvert par un utilisateur CIT habilité, motif obligatoire, avec conservation numéro/historique/documents/échanges.</t>
        </is>
      </c>
      <c r="F21" s="7" t="inlineStr">
        <is>
          <t>Détail d'un ticket clôturé (agent)</t>
        </is>
      </c>
      <c r="G21" s="7" t="inlineStr">
        <is>
          <t>Non testé</t>
        </is>
      </c>
      <c r="H21" s="7" t="n"/>
      <c r="I21" s="7" t="n"/>
      <c r="J21" s="7" t="n"/>
    </row>
    <row r="22" ht="40" customHeight="1">
      <c r="A22" s="14" t="inlineStr">
        <is>
          <t>CYC-07</t>
        </is>
      </c>
      <c r="B22" s="17" t="inlineStr">
        <is>
          <t>Should</t>
        </is>
      </c>
      <c r="C22" s="7" t="inlineStr">
        <is>
          <t>Cycle de vie</t>
        </is>
      </c>
      <c r="D22" s="7" t="inlineStr">
        <is>
          <t>Client</t>
        </is>
      </c>
      <c r="E22" s="7" t="inlineStr">
        <is>
          <t>Le client ne peut pas rouvrir directement un ticket clôturé ; il demande une réouverture ou crée une nouvelle demande.</t>
        </is>
      </c>
      <c r="F22" s="7" t="inlineStr">
        <is>
          <t>Détail d'un ticket clôturé (client)</t>
        </is>
      </c>
      <c r="G22" s="7" t="inlineStr">
        <is>
          <t>Non testé</t>
        </is>
      </c>
      <c r="H22" s="7" t="n"/>
      <c r="I22" s="7" t="n"/>
      <c r="J22" s="7" t="n"/>
    </row>
    <row r="23" ht="40" customHeight="1">
      <c r="A23" s="14" t="inlineStr">
        <is>
          <t>MSG-01</t>
        </is>
      </c>
      <c r="B23" s="15" t="inlineStr">
        <is>
          <t>Must</t>
        </is>
      </c>
      <c r="C23" s="7" t="inlineStr">
        <is>
          <t>Messages</t>
        </is>
      </c>
      <c r="D23" s="7" t="inlineStr">
        <is>
          <t>Client, Agent</t>
        </is>
      </c>
      <c r="E23" s="7" t="inlineStr">
        <is>
          <t>Message client/agent : visible par le client et les agents habilités.</t>
        </is>
      </c>
      <c r="F23" s="7" t="inlineStr">
        <is>
          <t>Fil de commentaires du ticket</t>
        </is>
      </c>
      <c r="G23" s="7" t="inlineStr">
        <is>
          <t>Non testé</t>
        </is>
      </c>
      <c r="H23" s="7" t="n"/>
      <c r="I23" s="7" t="n"/>
      <c r="J23" s="7" t="n"/>
    </row>
    <row r="24" ht="40" customHeight="1">
      <c r="A24" s="14" t="inlineStr">
        <is>
          <t>MSG-02</t>
        </is>
      </c>
      <c r="B24" s="15" t="inlineStr">
        <is>
          <t>Must</t>
        </is>
      </c>
      <c r="C24" s="7" t="inlineStr">
        <is>
          <t>Messages</t>
        </is>
      </c>
      <c r="D24" s="7" t="inlineStr">
        <is>
          <t>Agent</t>
        </is>
      </c>
      <c r="E24" s="7" t="inlineStr">
        <is>
          <t>Note interne CIT : visible uniquement par les collaborateurs CIT habilités, jamais du client.</t>
        </is>
      </c>
      <c r="F24" s="7" t="inlineStr">
        <is>
          <t>Fil de commentaires du ticket</t>
        </is>
      </c>
      <c r="G24" s="7" t="inlineStr">
        <is>
          <t>Non testé</t>
        </is>
      </c>
      <c r="H24" s="7" t="n"/>
      <c r="I24" s="7" t="n"/>
      <c r="J24" s="7" t="n"/>
    </row>
    <row r="25" ht="40" customHeight="1">
      <c r="A25" s="14" t="inlineStr">
        <is>
          <t>MSG-03</t>
        </is>
      </c>
      <c r="B25" s="15" t="inlineStr">
        <is>
          <t>Must</t>
        </is>
      </c>
      <c r="C25" s="7" t="inlineStr">
        <is>
          <t>Messages</t>
        </is>
      </c>
      <c r="D25" s="7" t="inlineStr">
        <is>
          <t>Client, Agent</t>
        </is>
      </c>
      <c r="E25" s="7" t="inlineStr">
        <is>
          <t>Le caractère interne/externe d'un message est visuellement très distinct ; les deux types sont horodatés et historisés.</t>
        </is>
      </c>
      <c r="F25" s="7" t="inlineStr">
        <is>
          <t>Fil de commentaires du ticket</t>
        </is>
      </c>
      <c r="G25" s="7" t="inlineStr">
        <is>
          <t>Non testé</t>
        </is>
      </c>
      <c r="H25" s="7" t="n"/>
      <c r="I25" s="7" t="n"/>
      <c r="J25" s="7" t="n"/>
    </row>
    <row r="26" ht="40" customHeight="1">
      <c r="A26" s="14" t="inlineStr">
        <is>
          <t>MSG-04</t>
        </is>
      </c>
      <c r="B26" s="17" t="inlineStr">
        <is>
          <t>Should</t>
        </is>
      </c>
      <c r="C26" s="7" t="inlineStr">
        <is>
          <t>Messages</t>
        </is>
      </c>
      <c r="D26" s="7" t="inlineStr">
        <is>
          <t>Agent</t>
        </is>
      </c>
      <c r="E26" s="7" t="inlineStr">
        <is>
          <t>Un collaborateur peut être mentionné (@Nom) dans une note interne ; il reçoit une notification portail et, selon paramétrage, un e-mail.</t>
        </is>
      </c>
      <c r="F26" s="7" t="inlineStr">
        <is>
          <t>Fil de commentaires (note interne)</t>
        </is>
      </c>
      <c r="G26" s="7" t="inlineStr">
        <is>
          <t>Non testé</t>
        </is>
      </c>
      <c r="H26" s="7" t="n"/>
      <c r="I26" s="7" t="n"/>
      <c r="J26" s="7" t="n"/>
    </row>
    <row r="27" ht="40" customHeight="1">
      <c r="A27" s="14" t="inlineStr">
        <is>
          <t>MSG-05</t>
        </is>
      </c>
      <c r="B27" s="15" t="inlineStr">
        <is>
          <t>Must</t>
        </is>
      </c>
      <c r="C27" s="7" t="inlineStr">
        <is>
          <t>Messages</t>
        </is>
      </c>
      <c r="D27" s="7" t="inlineStr">
        <is>
          <t>Agent</t>
        </is>
      </c>
      <c r="E27" s="7" t="inlineStr">
        <is>
          <t>Une mention n'entraîne pas de réaffectation : le ticket reste sous la responsabilité de son opérateur courant.</t>
        </is>
      </c>
      <c r="F27" s="7" t="inlineStr">
        <is>
          <t>Fil de commentaires (note interne)</t>
        </is>
      </c>
      <c r="G27" s="7" t="inlineStr">
        <is>
          <t>Non testé</t>
        </is>
      </c>
      <c r="H27" s="7" t="n"/>
      <c r="I27" s="7" t="n"/>
      <c r="J27" s="7" t="n"/>
    </row>
    <row r="28" ht="40" customHeight="1">
      <c r="A28" s="14" t="inlineStr">
        <is>
          <t>WKF-01</t>
        </is>
      </c>
      <c r="B28" s="15" t="inlineStr">
        <is>
          <t>Must</t>
        </is>
      </c>
      <c r="C28" s="7" t="inlineStr">
        <is>
          <t>Moteur de workflow</t>
        </is>
      </c>
      <c r="D28" s="7" t="inlineStr">
        <is>
          <t>Système</t>
        </is>
      </c>
      <c r="E28" s="7" t="inlineStr">
        <is>
          <t>La plateforme applique automatiquement le workflow correspondant au module, au type de demande et au profil du client.</t>
        </is>
      </c>
      <c r="F28" s="7" t="inlineStr">
        <is>
          <t>Moteur de workflow (transverse)</t>
        </is>
      </c>
      <c r="G28" s="7" t="inlineStr">
        <is>
          <t>Non testé</t>
        </is>
      </c>
      <c r="H28" s="7" t="n"/>
      <c r="I28" s="7" t="n"/>
      <c r="J28" s="7" t="n"/>
    </row>
    <row r="29" ht="40" customHeight="1">
      <c r="A29" s="14" t="inlineStr">
        <is>
          <t>WKF-02</t>
        </is>
      </c>
      <c r="B29" s="15" t="inlineStr">
        <is>
          <t>Must</t>
        </is>
      </c>
      <c r="C29" s="7" t="inlineStr">
        <is>
          <t>Moteur de workflow</t>
        </is>
      </c>
      <c r="D29" s="7" t="inlineStr">
        <is>
          <t>Agent habilité</t>
        </is>
      </c>
      <c r="E29" s="7" t="inlineStr">
        <is>
          <t>Le circuit par défaut n'est pas rigide : dérogation possible par transfert ou réaffectation, dans le respect des habilitations.</t>
        </is>
      </c>
      <c r="F29" s="7" t="inlineStr">
        <is>
          <t>Détail d'un ticket (agent)</t>
        </is>
      </c>
      <c r="G29" s="7" t="inlineStr">
        <is>
          <t>Non testé</t>
        </is>
      </c>
      <c r="H29" s="7" t="n"/>
      <c r="I29" s="7" t="n"/>
      <c r="J29" s="7" t="n"/>
    </row>
    <row r="30" ht="40" customHeight="1">
      <c r="A30" s="14" t="inlineStr">
        <is>
          <t>WKF-03</t>
        </is>
      </c>
      <c r="B30" s="15" t="inlineStr">
        <is>
          <t>Must</t>
        </is>
      </c>
      <c r="C30" s="7" t="inlineStr">
        <is>
          <t>Moteur de workflow</t>
        </is>
      </c>
      <c r="D30" s="7" t="inlineStr">
        <is>
          <t>Système</t>
        </is>
      </c>
      <c r="E30" s="7" t="inlineStr">
        <is>
          <t>Toute dérogation au circuit nominal est tracée dans l'historique du ticket et le journal d'audit.</t>
        </is>
      </c>
      <c r="F30" s="7" t="inlineStr">
        <is>
          <t>Historique du ticket, /administration/audit</t>
        </is>
      </c>
      <c r="G30" s="7" t="inlineStr">
        <is>
          <t>Non testé</t>
        </is>
      </c>
      <c r="H30" s="7" t="n"/>
      <c r="I30" s="7" t="n"/>
      <c r="J30" s="7" t="n"/>
    </row>
    <row r="31" ht="40" customHeight="1">
      <c r="A31" s="14" t="inlineStr">
        <is>
          <t>PEC-01</t>
        </is>
      </c>
      <c r="B31" s="15" t="inlineStr">
        <is>
          <t>Must</t>
        </is>
      </c>
      <c r="C31" s="7" t="inlineStr">
        <is>
          <t>Prise en charge</t>
        </is>
      </c>
      <c r="D31" s="7" t="inlineStr">
        <is>
          <t>Système</t>
        </is>
      </c>
      <c r="E31" s="7" t="inlineStr">
        <is>
          <t>Un ticket entrant est à l'état "en attente de prise en charge" tant qu'aucun opérateur ne l'a accepté.</t>
        </is>
      </c>
      <c r="F31" s="7" t="inlineStr">
        <is>
          <t>Files agent</t>
        </is>
      </c>
      <c r="G31" s="7" t="inlineStr">
        <is>
          <t>Non testé</t>
        </is>
      </c>
      <c r="H31" s="7" t="n"/>
      <c r="I31" s="7" t="n"/>
      <c r="J31" s="7" t="n"/>
    </row>
    <row r="32" ht="40" customHeight="1">
      <c r="A32" s="14" t="inlineStr">
        <is>
          <t>PEC-02</t>
        </is>
      </c>
      <c r="B32" s="15" t="inlineStr">
        <is>
          <t>Must</t>
        </is>
      </c>
      <c r="C32" s="7" t="inlineStr">
        <is>
          <t>Prise en charge</t>
        </is>
      </c>
      <c r="D32" s="7" t="inlineStr">
        <is>
          <t>Agent</t>
        </is>
      </c>
      <c r="E32" s="7" t="inlineStr">
        <is>
          <t>Un opérateur habilité peut prendre en charge un ticket de sa file ; le ticket lui est affecté et passe en traitement.</t>
        </is>
      </c>
      <c r="F32" s="7" t="inlineStr">
        <is>
          <t>Files agent</t>
        </is>
      </c>
      <c r="G32" s="7" t="inlineStr">
        <is>
          <t>Non testé</t>
        </is>
      </c>
      <c r="H32" s="7" t="n"/>
      <c r="I32" s="7" t="n"/>
      <c r="J32" s="7" t="n"/>
    </row>
    <row r="33" ht="40" customHeight="1">
      <c r="A33" s="14" t="inlineStr">
        <is>
          <t>PEC-03</t>
        </is>
      </c>
      <c r="B33" s="15" t="inlineStr">
        <is>
          <t>Must</t>
        </is>
      </c>
      <c r="C33" s="7" t="inlineStr">
        <is>
          <t>Prise en charge</t>
        </is>
      </c>
      <c r="D33" s="7" t="inlineStr">
        <is>
          <t>Système</t>
        </is>
      </c>
      <c r="E33" s="7" t="inlineStr">
        <is>
          <t>Le système enregistre arrivée en file, prise en charge, opérateur, début de traitement, dernière activité.</t>
        </is>
      </c>
      <c r="F33" s="7" t="inlineStr">
        <is>
          <t>Détail d'un ticket, indicateurs</t>
        </is>
      </c>
      <c r="G33" s="7" t="inlineStr">
        <is>
          <t>Non testé</t>
        </is>
      </c>
      <c r="H33" s="7" t="n"/>
      <c r="I33" s="7" t="n"/>
      <c r="J33" s="7" t="n"/>
    </row>
    <row r="34" ht="40" customHeight="1">
      <c r="A34" s="14" t="inlineStr">
        <is>
          <t>PEC-04</t>
        </is>
      </c>
      <c r="B34" s="15" t="inlineStr">
        <is>
          <t>Must</t>
        </is>
      </c>
      <c r="C34" s="7" t="inlineStr">
        <is>
          <t>Prise en charge</t>
        </is>
      </c>
      <c r="D34" s="7" t="inlineStr">
        <is>
          <t>Superviseur</t>
        </is>
      </c>
      <c r="E34" s="7" t="inlineStr">
        <is>
          <t>Le délai de prise en charge (arrivée → acceptation) est calculé et exploitable dans les indicateurs.</t>
        </is>
      </c>
      <c r="F34" s="7" t="inlineStr">
        <is>
          <t>/supervision</t>
        </is>
      </c>
      <c r="G34" s="7" t="inlineStr">
        <is>
          <t>Non testé</t>
        </is>
      </c>
      <c r="H34" s="7" t="n"/>
      <c r="I34" s="7" t="n"/>
      <c r="J34" s="7" t="n"/>
    </row>
    <row r="35" ht="40" customHeight="1">
      <c r="A35" s="14" t="inlineStr">
        <is>
          <t>PEC-05</t>
        </is>
      </c>
      <c r="B35" s="17" t="inlineStr">
        <is>
          <t>Should</t>
        </is>
      </c>
      <c r="C35" s="7" t="inlineStr">
        <is>
          <t>Prise en charge</t>
        </is>
      </c>
      <c r="D35" s="7" t="inlineStr">
        <is>
          <t>Superviseur</t>
        </is>
      </c>
      <c r="E35" s="7" t="inlineStr">
        <is>
          <t>Affectation directe : un superviseur (ou une règle paramétrée) peut affecter un ticket non pris en charge à un opérateur précis.</t>
        </is>
      </c>
      <c r="F35" s="7" t="inlineStr">
        <is>
          <t>/supervision</t>
        </is>
      </c>
      <c r="G35" s="7" t="inlineStr">
        <is>
          <t>Non testé</t>
        </is>
      </c>
      <c r="H35" s="7" t="n"/>
      <c r="I35" s="7" t="n"/>
      <c r="J35" s="7" t="n"/>
    </row>
    <row r="36" ht="40" customHeight="1">
      <c r="A36" s="14" t="inlineStr">
        <is>
          <t>TRF-01</t>
        </is>
      </c>
      <c r="B36" s="15" t="inlineStr">
        <is>
          <t>Must</t>
        </is>
      </c>
      <c r="C36" s="7" t="inlineStr">
        <is>
          <t>Transfert / réaffectation</t>
        </is>
      </c>
      <c r="D36" s="7" t="inlineStr">
        <is>
          <t>Agent habilité</t>
        </is>
      </c>
      <c r="E36" s="7" t="inlineStr">
        <is>
          <t>Un opérateur habilité peut transférer un ticket mal orienté vers une autre file autorisée, sans faire recréer la demande au client.</t>
        </is>
      </c>
      <c r="F36" s="7" t="inlineStr">
        <is>
          <t>Détail d'un ticket (agent)</t>
        </is>
      </c>
      <c r="G36" s="7" t="inlineStr">
        <is>
          <t>Non testé</t>
        </is>
      </c>
      <c r="H36" s="7" t="n"/>
      <c r="I36" s="7" t="n"/>
      <c r="J36" s="7" t="n"/>
    </row>
    <row r="37" ht="40" customHeight="1">
      <c r="A37" s="14" t="inlineStr">
        <is>
          <t>TRF-02</t>
        </is>
      </c>
      <c r="B37" s="15" t="inlineStr">
        <is>
          <t>Must</t>
        </is>
      </c>
      <c r="C37" s="7" t="inlineStr">
        <is>
          <t>Transfert / réaffectation</t>
        </is>
      </c>
      <c r="D37" s="7" t="inlineStr">
        <is>
          <t>Système</t>
        </is>
      </c>
      <c r="E37" s="7" t="inlineStr">
        <is>
          <t>Lors d'un transfert, le ticket conserve numéro, dossier, statut, historique, documents, commentaires et informations déjà collectées.</t>
        </is>
      </c>
      <c r="F37" s="7" t="inlineStr">
        <is>
          <t>Détail d'un ticket</t>
        </is>
      </c>
      <c r="G37" s="7" t="inlineStr">
        <is>
          <t>Non testé</t>
        </is>
      </c>
      <c r="H37" s="7" t="n"/>
      <c r="I37" s="7" t="n"/>
      <c r="J37" s="7" t="n"/>
    </row>
    <row r="38" ht="40" customHeight="1">
      <c r="A38" s="14" t="inlineStr">
        <is>
          <t>TRF-03</t>
        </is>
      </c>
      <c r="B38" s="15" t="inlineStr">
        <is>
          <t>Must</t>
        </is>
      </c>
      <c r="C38" s="7" t="inlineStr">
        <is>
          <t>Transfert / réaffectation</t>
        </is>
      </c>
      <c r="D38" s="7" t="inlineStr">
        <is>
          <t>Agent</t>
        </is>
      </c>
      <c r="E38" s="7" t="inlineStr">
        <is>
          <t>Un transfert trace au minimum : opérateur, date/heure, file d'origine et de destination, motif obligatoire, destinataire éventuel.</t>
        </is>
      </c>
      <c r="F38" s="7" t="inlineStr">
        <is>
          <t>Historique du ticket</t>
        </is>
      </c>
      <c r="G38" s="7" t="inlineStr">
        <is>
          <t>Non testé</t>
        </is>
      </c>
      <c r="H38" s="7" t="n"/>
      <c r="I38" s="7" t="n"/>
      <c r="J38" s="7" t="n"/>
    </row>
    <row r="39" ht="40" customHeight="1">
      <c r="A39" s="14" t="inlineStr">
        <is>
          <t>TRF-04</t>
        </is>
      </c>
      <c r="B39" s="15" t="inlineStr">
        <is>
          <t>Must</t>
        </is>
      </c>
      <c r="C39" s="7" t="inlineStr">
        <is>
          <t>Transfert / réaffectation</t>
        </is>
      </c>
      <c r="D39" s="7" t="inlineStr">
        <is>
          <t>Agent habilité</t>
        </is>
      </c>
      <c r="E39" s="7" t="inlineStr">
        <is>
          <t>Un opérateur habilité peut réaffecter un ticket à un autre opérateur habilité, selon droits configurés — pas réservé au superviseur.</t>
        </is>
      </c>
      <c r="F39" s="7" t="inlineStr">
        <is>
          <t>Détail d'un ticket (agent)</t>
        </is>
      </c>
      <c r="G39" s="7" t="inlineStr">
        <is>
          <t>Non testé</t>
        </is>
      </c>
      <c r="H39" s="7" t="n"/>
      <c r="I39" s="7" t="n"/>
      <c r="J39" s="7" t="n"/>
    </row>
    <row r="40" ht="40" customHeight="1">
      <c r="A40" s="14" t="inlineStr">
        <is>
          <t>TRF-05</t>
        </is>
      </c>
      <c r="B40" s="15" t="inlineStr">
        <is>
          <t>Must</t>
        </is>
      </c>
      <c r="C40" s="7" t="inlineStr">
        <is>
          <t>Transfert / réaffectation</t>
        </is>
      </c>
      <c r="D40" s="7" t="inlineStr">
        <is>
          <t>Système</t>
        </is>
      </c>
      <c r="E40" s="7" t="inlineStr">
        <is>
          <t>Le client est automatiquement notifié d'une réorientation ayant un impact sur son parcours.</t>
        </is>
      </c>
      <c r="F40" s="7" t="inlineStr">
        <is>
          <t>Moteur de notifications</t>
        </is>
      </c>
      <c r="G40" s="7" t="inlineStr">
        <is>
          <t>Non testé</t>
        </is>
      </c>
      <c r="H40" s="7" t="n"/>
      <c r="I40" s="7" t="n"/>
      <c r="J40" s="7" t="n"/>
    </row>
    <row r="41" ht="40" customHeight="1">
      <c r="A41" s="14" t="inlineStr">
        <is>
          <t>TRF-06</t>
        </is>
      </c>
      <c r="B41" s="15" t="inlineStr">
        <is>
          <t>Must</t>
        </is>
      </c>
      <c r="C41" s="7" t="inlineStr">
        <is>
          <t>Transfert / réaffectation</t>
        </is>
      </c>
      <c r="D41" s="7" t="inlineStr">
        <is>
          <t>Administration CIT</t>
        </is>
      </c>
      <c r="E41" s="7" t="inlineStr">
        <is>
          <t>Les transitions autorisées entre files sont définies par une matrice paramétrable ; aucun circuit codé en dur.</t>
        </is>
      </c>
      <c r="F41" s="7" t="inlineStr">
        <is>
          <t>/administration/matrice-transitions</t>
        </is>
      </c>
      <c r="G41" s="7" t="inlineStr">
        <is>
          <t>Non testé</t>
        </is>
      </c>
      <c r="H41" s="7" t="n"/>
      <c r="I41" s="7" t="n"/>
      <c r="J41" s="7" t="n"/>
    </row>
    <row r="42" ht="40" customHeight="1">
      <c r="A42" s="14" t="inlineStr">
        <is>
          <t>TPS-01</t>
        </is>
      </c>
      <c r="B42" s="15" t="inlineStr">
        <is>
          <t>Must</t>
        </is>
      </c>
      <c r="C42" s="7" t="inlineStr">
        <is>
          <t>Mesure des temps</t>
        </is>
      </c>
      <c r="D42" s="7" t="inlineStr">
        <is>
          <t>Système</t>
        </is>
      </c>
      <c r="E42" s="7" t="inlineStr">
        <is>
          <t>Pour chaque étape/file, la plateforme mesure le temps d'attente (arrivée → prise en charge) et le temps de traitement (prise en charge → sortie).</t>
        </is>
      </c>
      <c r="F42" s="7" t="inlineStr">
        <is>
          <t>Indicateurs, historique du ticket</t>
        </is>
      </c>
      <c r="G42" s="7" t="inlineStr">
        <is>
          <t>Non testé</t>
        </is>
      </c>
      <c r="H42" s="7" t="n"/>
      <c r="I42" s="7" t="n"/>
      <c r="J42" s="7" t="n"/>
    </row>
    <row r="43" ht="40" customHeight="1">
      <c r="A43" s="14" t="inlineStr">
        <is>
          <t>TPS-02</t>
        </is>
      </c>
      <c r="B43" s="15" t="inlineStr">
        <is>
          <t>Must</t>
        </is>
      </c>
      <c r="C43" s="7" t="inlineStr">
        <is>
          <t>Mesure des temps</t>
        </is>
      </c>
      <c r="D43" s="7" t="inlineStr">
        <is>
          <t>Système</t>
        </is>
      </c>
      <c r="E43" s="7" t="inlineStr">
        <is>
          <t>La plateforme mesure le temps d'attente client (en attente d'un complément/document/action du client).</t>
        </is>
      </c>
      <c r="F43" s="7" t="inlineStr">
        <is>
          <t>Indicateurs, historique du ticket</t>
        </is>
      </c>
      <c r="G43" s="7" t="inlineStr">
        <is>
          <t>Non testé</t>
        </is>
      </c>
      <c r="H43" s="7" t="n"/>
      <c r="I43" s="7" t="n"/>
      <c r="J43" s="7" t="n"/>
    </row>
    <row r="44" ht="40" customHeight="1">
      <c r="A44" s="14" t="inlineStr">
        <is>
          <t>TPS-03</t>
        </is>
      </c>
      <c r="B44" s="15" t="inlineStr">
        <is>
          <t>Must</t>
        </is>
      </c>
      <c r="C44" s="7" t="inlineStr">
        <is>
          <t>Mesure des temps</t>
        </is>
      </c>
      <c r="D44" s="7" t="inlineStr">
        <is>
          <t>Système</t>
        </is>
      </c>
      <c r="E44" s="7" t="inlineStr">
        <is>
          <t>La plateforme distingue temps interne, temps d'attente client et temps total du parcours.</t>
        </is>
      </c>
      <c r="F44" s="7" t="inlineStr">
        <is>
          <t>Indicateurs, historique du ticket</t>
        </is>
      </c>
      <c r="G44" s="7" t="inlineStr">
        <is>
          <t>Non testé</t>
        </is>
      </c>
      <c r="H44" s="7" t="n"/>
      <c r="I44" s="7" t="n"/>
      <c r="J44" s="7" t="n"/>
    </row>
    <row r="45" ht="40" customHeight="1">
      <c r="A45" s="14" t="inlineStr">
        <is>
          <t>TPS-04</t>
        </is>
      </c>
      <c r="B45" s="15" t="inlineStr">
        <is>
          <t>Must</t>
        </is>
      </c>
      <c r="C45" s="7" t="inlineStr">
        <is>
          <t>Mesure des temps</t>
        </is>
      </c>
      <c r="D45" s="7" t="inlineStr">
        <is>
          <t>Système</t>
        </is>
      </c>
      <c r="E45" s="7" t="inlineStr">
        <is>
          <t>Le temps d'attente client n'est pas imputé à l'opérateur ni à la file ; les SLA peuvent être suspendus pendant ces états.</t>
        </is>
      </c>
      <c r="F45" s="7" t="inlineStr">
        <is>
          <t>Moteur SLA</t>
        </is>
      </c>
      <c r="G45" s="7" t="inlineStr">
        <is>
          <t>Non testé</t>
        </is>
      </c>
      <c r="H45" s="7" t="n"/>
      <c r="I45" s="7" t="n"/>
      <c r="J45" s="7" t="n"/>
    </row>
    <row r="46" ht="40" customHeight="1">
      <c r="A46" s="14" t="inlineStr">
        <is>
          <t>TPS-05</t>
        </is>
      </c>
      <c r="B46" s="17" t="inlineStr">
        <is>
          <t>Should</t>
        </is>
      </c>
      <c r="C46" s="7" t="inlineStr">
        <is>
          <t>Mesure des temps</t>
        </is>
      </c>
      <c r="D46" s="7" t="inlineStr">
        <is>
          <t>Client, Agent</t>
        </is>
      </c>
      <c r="E46" s="7" t="inlineStr">
        <is>
          <t>L'historique du ticket restitue la chronologie détaillée par étape (attente puis traitement, par étape).</t>
        </is>
      </c>
      <c r="F46" s="7" t="inlineStr">
        <is>
          <t>Historique du ticket</t>
        </is>
      </c>
      <c r="G46" s="7" t="inlineStr">
        <is>
          <t>Non testé</t>
        </is>
      </c>
      <c r="H46" s="7" t="n"/>
      <c r="I46" s="7" t="n"/>
      <c r="J46" s="7" t="n"/>
    </row>
    <row r="47" ht="40" customHeight="1">
      <c r="A47" s="14" t="inlineStr">
        <is>
          <t>SLA-01</t>
        </is>
      </c>
      <c r="B47" s="15" t="inlineStr">
        <is>
          <t>Must</t>
        </is>
      </c>
      <c r="C47" s="7" t="inlineStr">
        <is>
          <t>Gestion des SLA</t>
        </is>
      </c>
      <c r="D47" s="7" t="inlineStr">
        <is>
          <t>Administration CIT</t>
        </is>
      </c>
      <c r="E47" s="7" t="inlineStr">
        <is>
          <t>Les SLA sont paramétrables selon au minimum : module, type de demande, étape, file, priorité, catégorie de client.</t>
        </is>
      </c>
      <c r="F47" s="7" t="inlineStr">
        <is>
          <t>/administration/parametres-sla</t>
        </is>
      </c>
      <c r="G47" s="7" t="inlineStr">
        <is>
          <t>Non testé</t>
        </is>
      </c>
      <c r="H47" s="7" t="n"/>
      <c r="I47" s="7" t="n"/>
      <c r="J47" s="7" t="n"/>
    </row>
    <row r="48" ht="40" customHeight="1">
      <c r="A48" s="14" t="inlineStr">
        <is>
          <t>SLA-02</t>
        </is>
      </c>
      <c r="B48" s="15" t="inlineStr">
        <is>
          <t>Must</t>
        </is>
      </c>
      <c r="C48" s="7" t="inlineStr">
        <is>
          <t>Gestion des SLA</t>
        </is>
      </c>
      <c r="D48" s="7" t="inlineStr">
        <is>
          <t>Système</t>
        </is>
      </c>
      <c r="E48" s="7" t="inlineStr">
        <is>
          <t>Plusieurs seuils gérés par SLA : information (ex. 50%), alerte (ex. 80%), dépassement (100%), escalade au-delà.</t>
        </is>
      </c>
      <c r="F48" s="7" t="inlineStr">
        <is>
          <t>/administration/parametres-sla, /supervision</t>
        </is>
      </c>
      <c r="G48" s="7" t="inlineStr">
        <is>
          <t>Non testé</t>
        </is>
      </c>
      <c r="H48" s="7" t="n"/>
      <c r="I48" s="7" t="n"/>
      <c r="J48" s="7" t="n"/>
    </row>
    <row r="49" ht="40" customHeight="1">
      <c r="A49" s="14" t="inlineStr">
        <is>
          <t>SLA-03</t>
        </is>
      </c>
      <c r="B49" s="15" t="inlineStr">
        <is>
          <t>Must</t>
        </is>
      </c>
      <c r="C49" s="7" t="inlineStr">
        <is>
          <t>Gestion des SLA</t>
        </is>
      </c>
      <c r="D49" s="7" t="inlineStr">
        <is>
          <t>Système</t>
        </is>
      </c>
      <c r="E49" s="7" t="inlineStr">
        <is>
          <t>Les SLA peuvent être suspendus/adaptés pendant certains états, notamment "En attente client".</t>
        </is>
      </c>
      <c r="F49" s="7" t="inlineStr">
        <is>
          <t>Moteur SLA</t>
        </is>
      </c>
      <c r="G49" s="7" t="inlineStr">
        <is>
          <t>Non testé</t>
        </is>
      </c>
      <c r="H49" s="7" t="n"/>
      <c r="I49" s="7" t="n"/>
      <c r="J49" s="7" t="n"/>
    </row>
    <row r="50" ht="40" customHeight="1">
      <c r="A50" s="14" t="inlineStr">
        <is>
          <t>SLA-04</t>
        </is>
      </c>
      <c r="B50" s="17" t="inlineStr">
        <is>
          <t>Should</t>
        </is>
      </c>
      <c r="C50" s="7" t="inlineStr">
        <is>
          <t>Gestion des SLA</t>
        </is>
      </c>
      <c r="D50" s="7" t="inlineStr">
        <is>
          <t>Administration CIT</t>
        </is>
      </c>
      <c r="E50" s="7" t="inlineStr">
        <is>
          <t>Les horaires de fonctionnement (heures ouvrées) peuvent être pris en compte dans le calcul des SLA.</t>
        </is>
      </c>
      <c r="F50" s="7" t="inlineStr">
        <is>
          <t>Paramétrage horaires (décision D-05 ouverte)</t>
        </is>
      </c>
      <c r="G50" s="7" t="inlineStr">
        <is>
          <t>Non testé</t>
        </is>
      </c>
      <c r="H50" s="7" t="n"/>
      <c r="I50" s="7" t="n"/>
      <c r="J50" s="7" t="n"/>
    </row>
    <row r="51" ht="40" customHeight="1">
      <c r="A51" s="14" t="inlineStr">
        <is>
          <t>SLA-05</t>
        </is>
      </c>
      <c r="B51" s="15" t="inlineStr">
        <is>
          <t>Must</t>
        </is>
      </c>
      <c r="C51" s="7" t="inlineStr">
        <is>
          <t>Gestion des SLA</t>
        </is>
      </c>
      <c r="D51" s="7" t="inlineStr">
        <is>
          <t>Administration CIT</t>
        </is>
      </c>
      <c r="E51" s="7" t="inlineStr">
        <is>
          <t>Les valeurs de seuils et durées cibles sont administrables sans développement.</t>
        </is>
      </c>
      <c r="F51" s="7" t="inlineStr">
        <is>
          <t>/administration/parametres-sla</t>
        </is>
      </c>
      <c r="G51" s="7" t="inlineStr">
        <is>
          <t>Non testé</t>
        </is>
      </c>
      <c r="H51" s="7" t="n"/>
      <c r="I51" s="7" t="n"/>
      <c r="J51" s="7" t="n"/>
    </row>
    <row r="52" ht="40" customHeight="1">
      <c r="A52" s="14" t="inlineStr">
        <is>
          <t>ALE-01</t>
        </is>
      </c>
      <c r="B52" s="15" t="inlineStr">
        <is>
          <t>Must</t>
        </is>
      </c>
      <c r="C52" s="7" t="inlineStr">
        <is>
          <t>Alertes / escalades</t>
        </is>
      </c>
      <c r="D52" s="7" t="inlineStr">
        <is>
          <t>Superviseur</t>
        </is>
      </c>
      <c r="E52" s="7" t="inlineStr">
        <is>
          <t>Alertes : ticket non pris en charge depuis X min, sans activité, SLA bientôt/déjà dépassé, backlog excessif, volume anormal, opérateur indisponible avec tickets affectés.</t>
        </is>
      </c>
      <c r="F52" s="7" t="inlineStr">
        <is>
          <t>/supervision</t>
        </is>
      </c>
      <c r="G52" s="7" t="inlineStr">
        <is>
          <t>Non testé</t>
        </is>
      </c>
      <c r="H52" s="7" t="n"/>
      <c r="I52" s="7" t="n"/>
      <c r="J52" s="7" t="n"/>
    </row>
    <row r="53" ht="40" customHeight="1">
      <c r="A53" s="14" t="inlineStr">
        <is>
          <t>ALE-02</t>
        </is>
      </c>
      <c r="B53" s="15" t="inlineStr">
        <is>
          <t>Must</t>
        </is>
      </c>
      <c r="C53" s="7" t="inlineStr">
        <is>
          <t>Alertes / escalades</t>
        </is>
      </c>
      <c r="D53" s="7" t="inlineStr">
        <is>
          <t>Administration CIT</t>
        </is>
      </c>
      <c r="E53" s="7" t="inlineStr">
        <is>
          <t>Les règles d'alerte, seuils, destinataires et canaux sont paramétrables sans développement.</t>
        </is>
      </c>
      <c r="F53" s="7" t="inlineStr">
        <is>
          <t>/administration/regles-escalade</t>
        </is>
      </c>
      <c r="G53" s="7" t="inlineStr">
        <is>
          <t>Non testé</t>
        </is>
      </c>
      <c r="H53" s="7" t="n"/>
      <c r="I53" s="7" t="n"/>
      <c r="J53" s="7" t="n"/>
    </row>
    <row r="54" ht="40" customHeight="1">
      <c r="A54" s="14" t="inlineStr">
        <is>
          <t>ALE-03</t>
        </is>
      </c>
      <c r="B54" s="15" t="inlineStr">
        <is>
          <t>Must</t>
        </is>
      </c>
      <c r="C54" s="7" t="inlineStr">
        <is>
          <t>Alertes / escalades</t>
        </is>
      </c>
      <c r="D54" s="7" t="inlineStr">
        <is>
          <t>Système, Superviseur</t>
        </is>
      </c>
      <c r="E54" s="7" t="inlineStr">
        <is>
          <t>Le dépassement d'un SLA peut déclencher une escalade (notification superviseur, remontée de priorité, réaffectation).</t>
        </is>
      </c>
      <c r="F54" s="7" t="inlineStr">
        <is>
          <t>/administration/regles-escalade, /supervision</t>
        </is>
      </c>
      <c r="G54" s="7" t="inlineStr">
        <is>
          <t>Non testé</t>
        </is>
      </c>
      <c r="H54" s="7" t="n"/>
      <c r="I54" s="7" t="n"/>
      <c r="J54" s="7" t="n"/>
    </row>
    <row r="55" ht="40" customHeight="1">
      <c r="A55" s="14" t="inlineStr">
        <is>
          <t>SUP-01</t>
        </is>
      </c>
      <c r="B55" s="15" t="inlineStr">
        <is>
          <t>Must</t>
        </is>
      </c>
      <c r="C55" s="7" t="inlineStr">
        <is>
          <t>Supervision</t>
        </is>
      </c>
      <c r="D55" s="7" t="inlineStr">
        <is>
          <t>Superviseur</t>
        </is>
      </c>
      <c r="E55" s="7" t="inlineStr">
        <is>
          <t>Vue temps réel des tickets par état (attente, non affectés, pris en charge, en cours, attente client, proche/en dépassement SLA, sans activité).</t>
        </is>
      </c>
      <c r="F55" s="7" t="inlineStr">
        <is>
          <t>/supervision</t>
        </is>
      </c>
      <c r="G55" s="7" t="inlineStr">
        <is>
          <t>Non testé</t>
        </is>
      </c>
      <c r="H55" s="7" t="n"/>
      <c r="I55" s="7" t="n"/>
      <c r="J55" s="7" t="n"/>
    </row>
    <row r="56" ht="40" customHeight="1">
      <c r="A56" s="14" t="inlineStr">
        <is>
          <t>SUP-02</t>
        </is>
      </c>
      <c r="B56" s="15" t="inlineStr">
        <is>
          <t>Must</t>
        </is>
      </c>
      <c r="C56" s="7" t="inlineStr">
        <is>
          <t>Supervision</t>
        </is>
      </c>
      <c r="D56" s="7" t="inlineStr">
        <is>
          <t>Superviseur</t>
        </is>
      </c>
      <c r="E56" s="7" t="inlineStr">
        <is>
          <t>Vue temps réel par file : nombre de tickets, backlog, ancienneté du plus ancien, délai moyen, respect des SLA.</t>
        </is>
      </c>
      <c r="F56" s="7" t="inlineStr">
        <is>
          <t>/supervision</t>
        </is>
      </c>
      <c r="G56" s="7" t="inlineStr">
        <is>
          <t>Non testé</t>
        </is>
      </c>
      <c r="H56" s="7" t="n"/>
      <c r="I56" s="7" t="n"/>
      <c r="J56" s="7" t="n"/>
    </row>
    <row r="57" ht="40" customHeight="1">
      <c r="A57" s="14" t="inlineStr">
        <is>
          <t>SUP-03</t>
        </is>
      </c>
      <c r="B57" s="15" t="inlineStr">
        <is>
          <t>Must</t>
        </is>
      </c>
      <c r="C57" s="7" t="inlineStr">
        <is>
          <t>Supervision</t>
        </is>
      </c>
      <c r="D57" s="7" t="inlineStr">
        <is>
          <t>Superviseur</t>
        </is>
      </c>
      <c r="E57" s="7" t="inlineStr">
        <is>
          <t>Vue de la charge par opérateur et de la disponibilité/connexion des opérateurs du périmètre.</t>
        </is>
      </c>
      <c r="F57" s="7" t="inlineStr">
        <is>
          <t>/administration/disponibilite</t>
        </is>
      </c>
      <c r="G57" s="7" t="inlineStr">
        <is>
          <t>Non testé</t>
        </is>
      </c>
      <c r="H57" s="7" t="n"/>
      <c r="I57" s="7" t="n"/>
      <c r="J57" s="7" t="n"/>
    </row>
    <row r="58" ht="40" customHeight="1">
      <c r="A58" s="14" t="inlineStr">
        <is>
          <t>SUP-04</t>
        </is>
      </c>
      <c r="B58" s="15" t="inlineStr">
        <is>
          <t>Must</t>
        </is>
      </c>
      <c r="C58" s="7" t="inlineStr">
        <is>
          <t>Supervision</t>
        </is>
      </c>
      <c r="D58" s="7" t="inlineStr">
        <is>
          <t>Superviseur</t>
        </is>
      </c>
      <c r="E58" s="7" t="inlineStr">
        <is>
          <t>Le superviseur peut affecter, réaffecter, transférer, équilibrer la charge, intervenir sur un ticket bloqué, rechercher et consulter l'historique.</t>
        </is>
      </c>
      <c r="F58" s="7" t="inlineStr">
        <is>
          <t>/supervision</t>
        </is>
      </c>
      <c r="G58" s="7" t="inlineStr">
        <is>
          <t>Non testé</t>
        </is>
      </c>
      <c r="H58" s="7" t="n"/>
      <c r="I58" s="7" t="n"/>
      <c r="J58" s="7" t="n"/>
    </row>
    <row r="59" ht="40" customHeight="1">
      <c r="A59" s="14" t="inlineStr">
        <is>
          <t>SUP-05</t>
        </is>
      </c>
      <c r="B59" s="15" t="inlineStr">
        <is>
          <t>Must</t>
        </is>
      </c>
      <c r="C59" s="7" t="inlineStr">
        <is>
          <t>Supervision</t>
        </is>
      </c>
      <c r="D59" s="7" t="inlineStr">
        <is>
          <t>Superviseur</t>
        </is>
      </c>
      <c r="E59" s="7" t="inlineStr">
        <is>
          <t>Suivi de l'activité opérationnelle des agents : disponibilité, dernière activité, tickets affectés/en cours, volumes, indicateurs de délai.</t>
        </is>
      </c>
      <c r="F59" s="7" t="inlineStr">
        <is>
          <t>/supervision, /administration/disponibilite</t>
        </is>
      </c>
      <c r="G59" s="7" t="inlineStr">
        <is>
          <t>Non testé</t>
        </is>
      </c>
      <c r="H59" s="7" t="n"/>
      <c r="I59" s="7" t="n"/>
      <c r="J59" s="7" t="n"/>
    </row>
    <row r="60" ht="40" customHeight="1">
      <c r="A60" s="14" t="inlineStr">
        <is>
          <t>DIS-01</t>
        </is>
      </c>
      <c r="B60" s="15" t="inlineStr">
        <is>
          <t>Must</t>
        </is>
      </c>
      <c r="C60" s="7" t="inlineStr">
        <is>
          <t>Disponibilité agents</t>
        </is>
      </c>
      <c r="D60" s="7" t="inlineStr">
        <is>
          <t>Agent, Système</t>
        </is>
      </c>
      <c r="E60" s="7" t="inlineStr">
        <is>
          <t>Connaître la disponibilité opérationnelle d'un agent (Disponible/Indisponible/Absent) ; un agent indisponible ne reçoit pas de nouvelle affectation automatique.</t>
        </is>
      </c>
      <c r="F60" s="7" t="inlineStr">
        <is>
          <t>/administration/disponibilite</t>
        </is>
      </c>
      <c r="G60" s="7" t="inlineStr">
        <is>
          <t>Non testé</t>
        </is>
      </c>
      <c r="H60" s="7" t="n"/>
      <c r="I60" s="7" t="n"/>
      <c r="J60" s="7" t="n"/>
    </row>
    <row r="61" ht="40" customHeight="1">
      <c r="A61" s="14" t="inlineStr">
        <is>
          <t>DIS-02</t>
        </is>
      </c>
      <c r="B61" s="15" t="inlineStr">
        <is>
          <t>Must</t>
        </is>
      </c>
      <c r="C61" s="7" t="inlineStr">
        <is>
          <t>Disponibilité agents</t>
        </is>
      </c>
      <c r="D61" s="7" t="inlineStr">
        <is>
          <t>Superviseur</t>
        </is>
      </c>
      <c r="E61" s="7" t="inlineStr">
        <is>
          <t>Le superviseur peut modifier la disponibilité, identifier les tickets d'un opérateur absent, les réaffecter en masse, consulter sa charge restante.</t>
        </is>
      </c>
      <c r="F61" s="7" t="inlineStr">
        <is>
          <t>/administration/disponibilite</t>
        </is>
      </c>
      <c r="G61" s="7" t="inlineStr">
        <is>
          <t>Non testé</t>
        </is>
      </c>
      <c r="H61" s="7" t="n"/>
      <c r="I61" s="7" t="n"/>
      <c r="J61" s="7" t="n"/>
    </row>
    <row r="62" ht="40" customHeight="1">
      <c r="A62" s="14" t="inlineStr">
        <is>
          <t>DIS-03</t>
        </is>
      </c>
      <c r="B62" s="15" t="inlineStr">
        <is>
          <t>Must</t>
        </is>
      </c>
      <c r="C62" s="7" t="inlineStr">
        <is>
          <t>Disponibilité agents</t>
        </is>
      </c>
      <c r="D62" s="7" t="inlineStr">
        <is>
          <t>Système</t>
        </is>
      </c>
      <c r="E62" s="7" t="inlineStr">
        <is>
          <t>Les changements de disponibilité sont tracés.</t>
        </is>
      </c>
      <c r="F62" s="7" t="inlineStr">
        <is>
          <t>/administration/audit</t>
        </is>
      </c>
      <c r="G62" s="7" t="inlineStr">
        <is>
          <t>Non testé</t>
        </is>
      </c>
      <c r="H62" s="7" t="n"/>
      <c r="I62" s="7" t="n"/>
      <c r="J62" s="7" t="n"/>
    </row>
    <row r="63" ht="40" customHeight="1">
      <c r="A63" s="14" t="inlineStr">
        <is>
          <t>AFF-01</t>
        </is>
      </c>
      <c r="B63" s="15" t="inlineStr">
        <is>
          <t>Must</t>
        </is>
      </c>
      <c r="C63" s="7" t="inlineStr">
        <is>
          <t>Modes d'affectation</t>
        </is>
      </c>
      <c r="D63" s="7" t="inlineStr">
        <is>
          <t>Agent</t>
        </is>
      </c>
      <c r="E63" s="7" t="inlineStr">
        <is>
          <t>Prise libre : un opérateur habilité prend un ticket dans sa file.</t>
        </is>
      </c>
      <c r="F63" s="7" t="inlineStr">
        <is>
          <t>Files agent</t>
        </is>
      </c>
      <c r="G63" s="7" t="inlineStr">
        <is>
          <t>Non testé</t>
        </is>
      </c>
      <c r="H63" s="7" t="n"/>
      <c r="I63" s="7" t="n"/>
      <c r="J63" s="7" t="n"/>
    </row>
    <row r="64" ht="40" customHeight="1">
      <c r="A64" s="14" t="inlineStr">
        <is>
          <t>AFF-02</t>
        </is>
      </c>
      <c r="B64" s="15" t="inlineStr">
        <is>
          <t>Must</t>
        </is>
      </c>
      <c r="C64" s="7" t="inlineStr">
        <is>
          <t>Modes d'affectation</t>
        </is>
      </c>
      <c r="D64" s="7" t="inlineStr">
        <is>
          <t>Superviseur</t>
        </is>
      </c>
      <c r="E64" s="7" t="inlineStr">
        <is>
          <t>Affectation manuelle : un superviseur affecte un ticket à un opérateur.</t>
        </is>
      </c>
      <c r="F64" s="7" t="inlineStr">
        <is>
          <t>/supervision</t>
        </is>
      </c>
      <c r="G64" s="7" t="inlineStr">
        <is>
          <t>Non testé</t>
        </is>
      </c>
      <c r="H64" s="7" t="n"/>
      <c r="I64" s="7" t="n"/>
      <c r="J64" s="7" t="n"/>
    </row>
    <row r="65" ht="40" customHeight="1">
      <c r="A65" s="14" t="inlineStr">
        <is>
          <t>AFF-03</t>
        </is>
      </c>
      <c r="B65" s="17" t="inlineStr">
        <is>
          <t>Should</t>
        </is>
      </c>
      <c r="C65" s="7" t="inlineStr">
        <is>
          <t>Modes d'affectation</t>
        </is>
      </c>
      <c r="D65" s="7" t="inlineStr">
        <is>
          <t>Système</t>
        </is>
      </c>
      <c r="E65" s="7" t="inlineStr">
        <is>
          <t>Distribution automatique en Round-Robin.</t>
        </is>
      </c>
      <c r="F65" s="7" t="inlineStr">
        <is>
          <t>/administration/strategie-file</t>
        </is>
      </c>
      <c r="G65" s="7" t="inlineStr">
        <is>
          <t>Non testé</t>
        </is>
      </c>
      <c r="H65" s="7" t="n"/>
      <c r="I65" s="7" t="n"/>
      <c r="J65" s="7" t="n"/>
    </row>
    <row r="66" ht="40" customHeight="1">
      <c r="A66" s="14" t="inlineStr">
        <is>
          <t>AFF-04</t>
        </is>
      </c>
      <c r="B66" s="17" t="inlineStr">
        <is>
          <t>Should</t>
        </is>
      </c>
      <c r="C66" s="7" t="inlineStr">
        <is>
          <t>Modes d'affectation</t>
        </is>
      </c>
      <c r="D66" s="7" t="inlineStr">
        <is>
          <t>Système</t>
        </is>
      </c>
      <c r="E66" s="7" t="inlineStr">
        <is>
          <t>Distribution selon la charge actuelle des agents.</t>
        </is>
      </c>
      <c r="F66" s="7" t="inlineStr">
        <is>
          <t>/administration/strategie-file</t>
        </is>
      </c>
      <c r="G66" s="7" t="inlineStr">
        <is>
          <t>Non testé</t>
        </is>
      </c>
      <c r="H66" s="7" t="n"/>
      <c r="I66" s="7" t="n"/>
      <c r="J66" s="7" t="n"/>
    </row>
    <row r="67" ht="40" customHeight="1">
      <c r="A67" s="14" t="inlineStr">
        <is>
          <t>AFF-05</t>
        </is>
      </c>
      <c r="B67" s="17" t="inlineStr">
        <is>
          <t>Should</t>
        </is>
      </c>
      <c r="C67" s="7" t="inlineStr">
        <is>
          <t>Modes d'affectation</t>
        </is>
      </c>
      <c r="D67" s="7" t="inlineStr">
        <is>
          <t>Système</t>
        </is>
      </c>
      <c r="E67" s="7" t="inlineStr">
        <is>
          <t>Distribution selon la disponibilité des agents.</t>
        </is>
      </c>
      <c r="F67" s="7" t="inlineStr">
        <is>
          <t>/administration/strategie-file</t>
        </is>
      </c>
      <c r="G67" s="7" t="inlineStr">
        <is>
          <t>Non testé</t>
        </is>
      </c>
      <c r="H67" s="7" t="n"/>
      <c r="I67" s="7" t="n"/>
      <c r="J67" s="7" t="n"/>
    </row>
    <row r="68" ht="40" customHeight="1">
      <c r="A68" s="14" t="inlineStr">
        <is>
          <t>AFF-06</t>
        </is>
      </c>
      <c r="B68" s="17" t="inlineStr">
        <is>
          <t>Should</t>
        </is>
      </c>
      <c r="C68" s="7" t="inlineStr">
        <is>
          <t>Modes d'affectation</t>
        </is>
      </c>
      <c r="D68" s="7" t="inlineStr">
        <is>
          <t>Système</t>
        </is>
      </c>
      <c r="E68" s="7" t="inlineStr">
        <is>
          <t>Distribution selon la compétence / l'habilitation.</t>
        </is>
      </c>
      <c r="F68" s="7" t="inlineStr">
        <is>
          <t>/administration/competences-operateur</t>
        </is>
      </c>
      <c r="G68" s="7" t="inlineStr">
        <is>
          <t>Non testé</t>
        </is>
      </c>
      <c r="H68" s="7" t="n"/>
      <c r="I68" s="7" t="n"/>
      <c r="J68" s="7" t="n"/>
    </row>
    <row r="69" ht="40" customHeight="1">
      <c r="A69" s="14" t="inlineStr">
        <is>
          <t>AFF-07</t>
        </is>
      </c>
      <c r="B69" s="15" t="inlineStr">
        <is>
          <t>Must</t>
        </is>
      </c>
      <c r="C69" s="7" t="inlineStr">
        <is>
          <t>Modes d'affectation</t>
        </is>
      </c>
      <c r="D69" s="7" t="inlineStr">
        <is>
          <t>Administration CIT</t>
        </is>
      </c>
      <c r="E69" s="7" t="inlineStr">
        <is>
          <t>Le changement de stratégie d'affectation d'une file est réalisable sans développement.</t>
        </is>
      </c>
      <c r="F69" s="7" t="inlineStr">
        <is>
          <t>/administration/strategie-file</t>
        </is>
      </c>
      <c r="G69" s="7" t="inlineStr">
        <is>
          <t>Non testé</t>
        </is>
      </c>
      <c r="H69" s="7" t="n"/>
      <c r="I69" s="7" t="n"/>
      <c r="J69" s="7" t="n"/>
    </row>
    <row r="70" ht="40" customHeight="1">
      <c r="A70" s="14" t="inlineStr">
        <is>
          <t>PRI-01</t>
        </is>
      </c>
      <c r="B70" s="15" t="inlineStr">
        <is>
          <t>Must</t>
        </is>
      </c>
      <c r="C70" s="7" t="inlineStr">
        <is>
          <t>Priorités</t>
        </is>
      </c>
      <c r="D70" s="7" t="inlineStr">
        <is>
          <t>Agent habilité</t>
        </is>
      </c>
      <c r="E70" s="7" t="inlineStr">
        <is>
          <t>Chaque ticket a un niveau de priorité issu d'un référentiel paramétrable, attribuable automatiquement ou modifiable.</t>
        </is>
      </c>
      <c r="F70" s="7" t="inlineStr">
        <is>
          <t>/administration/priorites, détail d'un ticket</t>
        </is>
      </c>
      <c r="G70" s="7" t="inlineStr">
        <is>
          <t>Non testé</t>
        </is>
      </c>
      <c r="H70" s="7" t="n"/>
      <c r="I70" s="7" t="n"/>
      <c r="J70" s="7" t="n"/>
    </row>
    <row r="71" ht="40" customHeight="1">
      <c r="A71" s="14" t="inlineStr">
        <is>
          <t>PRI-02</t>
        </is>
      </c>
      <c r="B71" s="15" t="inlineStr">
        <is>
          <t>Must</t>
        </is>
      </c>
      <c r="C71" s="7" t="inlineStr">
        <is>
          <t>Priorités</t>
        </is>
      </c>
      <c r="D71" s="7" t="inlineStr">
        <is>
          <t>Système</t>
        </is>
      </c>
      <c r="E71" s="7" t="inlineStr">
        <is>
          <t>La priorité peut influencer l'ordre en file, le SLA, les alertes et l'escalade.</t>
        </is>
      </c>
      <c r="F71" s="7" t="inlineStr">
        <is>
          <t>Moteur SLA</t>
        </is>
      </c>
      <c r="G71" s="7" t="inlineStr">
        <is>
          <t>Non testé</t>
        </is>
      </c>
      <c r="H71" s="7" t="n"/>
      <c r="I71" s="7" t="n"/>
      <c r="J71" s="7" t="n"/>
    </row>
    <row r="72" ht="40" customHeight="1">
      <c r="A72" s="14" t="inlineStr">
        <is>
          <t>PRI-03</t>
        </is>
      </c>
      <c r="B72" s="15" t="inlineStr">
        <is>
          <t>Must</t>
        </is>
      </c>
      <c r="C72" s="7" t="inlineStr">
        <is>
          <t>Priorités</t>
        </is>
      </c>
      <c r="D72" s="7" t="inlineStr">
        <is>
          <t>Système</t>
        </is>
      </c>
      <c r="E72" s="7" t="inlineStr">
        <is>
          <t>Toute modification manuelle de priorité enregistre ancienne/nouvelle valeur, auteur, date/heure, motif.</t>
        </is>
      </c>
      <c r="F72" s="7" t="inlineStr">
        <is>
          <t>Historique du ticket</t>
        </is>
      </c>
      <c r="G72" s="7" t="inlineStr">
        <is>
          <t>Non testé</t>
        </is>
      </c>
      <c r="H72" s="7" t="n"/>
      <c r="I72" s="7" t="n"/>
      <c r="J72" s="7" t="n"/>
    </row>
    <row r="73" ht="40" customHeight="1">
      <c r="A73" s="14" t="inlineStr">
        <is>
          <t>PRI-04</t>
        </is>
      </c>
      <c r="B73" s="15" t="inlineStr">
        <is>
          <t>Must</t>
        </is>
      </c>
      <c r="C73" s="7" t="inlineStr">
        <is>
          <t>Priorités</t>
        </is>
      </c>
      <c r="D73" s="7" t="inlineStr">
        <is>
          <t>Client</t>
        </is>
      </c>
      <c r="E73" s="7" t="inlineStr">
        <is>
          <t>Le client ne peut pas déclarer librement sa demande urgente/critique, sauf processus métier prévu.</t>
        </is>
      </c>
      <c r="F73" s="7" t="inlineStr">
        <is>
          <t>Formulaires de soumission client</t>
        </is>
      </c>
      <c r="G73" s="7" t="inlineStr">
        <is>
          <t>Non testé</t>
        </is>
      </c>
      <c r="H73" s="7" t="n"/>
      <c r="I73" s="7" t="n"/>
      <c r="J73" s="7" t="n"/>
    </row>
    <row r="74" ht="40" customHeight="1">
      <c r="A74" s="14" t="inlineStr">
        <is>
          <t>MAS-01</t>
        </is>
      </c>
      <c r="B74" s="17" t="inlineStr">
        <is>
          <t>Should</t>
        </is>
      </c>
      <c r="C74" s="7" t="inlineStr">
        <is>
          <t>Actions de masse</t>
        </is>
      </c>
      <c r="D74" s="7" t="inlineStr">
        <is>
          <t>Superviseur</t>
        </is>
      </c>
      <c r="E74" s="7" t="inlineStr">
        <is>
          <t>Le superviseur peut, en masse : affecter, réaffecter, transférer de file, modifier la priorité, autres actions administratives autorisées.</t>
        </is>
      </c>
      <c r="F74" s="7" t="inlineStr">
        <is>
          <t>/supervision</t>
        </is>
      </c>
      <c r="G74" s="7" t="inlineStr">
        <is>
          <t>Non testé</t>
        </is>
      </c>
      <c r="H74" s="7" t="n"/>
      <c r="I74" s="7" t="n"/>
      <c r="J74" s="7" t="n"/>
    </row>
    <row r="75" ht="40" customHeight="1">
      <c r="A75" s="14" t="inlineStr">
        <is>
          <t>MAS-02</t>
        </is>
      </c>
      <c r="B75" s="15" t="inlineStr">
        <is>
          <t>Must</t>
        </is>
      </c>
      <c r="C75" s="7" t="inlineStr">
        <is>
          <t>Actions de masse</t>
        </is>
      </c>
      <c r="D75" s="7" t="inlineStr">
        <is>
          <t>Système</t>
        </is>
      </c>
      <c r="E75" s="7" t="inlineStr">
        <is>
          <t>Toute action de masse est tracée ticket par ticket dans l'historique et le journal d'audit.</t>
        </is>
      </c>
      <c r="F75" s="7" t="inlineStr">
        <is>
          <t>/administration/audit</t>
        </is>
      </c>
      <c r="G75" s="7" t="inlineStr">
        <is>
          <t>Non testé</t>
        </is>
      </c>
      <c r="H75" s="7" t="n"/>
      <c r="I75" s="7" t="n"/>
      <c r="J75" s="7" t="n"/>
    </row>
    <row r="76" ht="40" customHeight="1">
      <c r="A76" s="14" t="inlineStr">
        <is>
          <t>CPT-01</t>
        </is>
      </c>
      <c r="B76" s="15" t="inlineStr">
        <is>
          <t>Must</t>
        </is>
      </c>
      <c r="C76" s="7" t="inlineStr">
        <is>
          <t>Comptes clients</t>
        </is>
      </c>
      <c r="D76" s="7" t="inlineStr">
        <is>
          <t>Administration CIT</t>
        </is>
      </c>
      <c r="E76" s="7" t="inlineStr">
        <is>
          <t>Création de compte client soumise à validation par CIT avant activation ; informations/justificatifs paramétrables.</t>
        </is>
      </c>
      <c r="F76" s="7" t="inlineStr">
        <is>
          <t>/comptes/soumettre, /comptes/valider</t>
        </is>
      </c>
      <c r="G76" s="7" t="inlineStr">
        <is>
          <t>Non testé</t>
        </is>
      </c>
      <c r="H76" s="7" t="n"/>
      <c r="I76" s="7" t="n"/>
      <c r="J76" s="7" t="n"/>
    </row>
    <row r="77" ht="40" customHeight="1">
      <c r="A77" s="14" t="inlineStr">
        <is>
          <t>CPT-02</t>
        </is>
      </c>
      <c r="B77" s="15" t="inlineStr">
        <is>
          <t>Must</t>
        </is>
      </c>
      <c r="C77" s="7" t="inlineStr">
        <is>
          <t>Comptes clients</t>
        </is>
      </c>
      <c r="D77" s="7" t="inlineStr">
        <is>
          <t>Administration CIT</t>
        </is>
      </c>
      <c r="E77" s="7" t="inlineStr">
        <is>
          <t>Le profil du client (normal/en compte/deposit/IES) est défini à la création et détermine automatiquement le workflow applicable.</t>
        </is>
      </c>
      <c r="F77" s="7" t="inlineStr">
        <is>
          <t>/comptes/valider, /comptes/modifier-type</t>
        </is>
      </c>
      <c r="G77" s="7" t="inlineStr">
        <is>
          <t>Non testé</t>
        </is>
      </c>
      <c r="H77" s="7" t="n"/>
      <c r="I77" s="7" t="n"/>
      <c r="J77" s="7" t="n"/>
    </row>
    <row r="78" ht="40" customHeight="1">
      <c r="A78" s="14" t="inlineStr">
        <is>
          <t>CPT-03</t>
        </is>
      </c>
      <c r="B78" s="15" t="inlineStr">
        <is>
          <t>Must</t>
        </is>
      </c>
      <c r="C78" s="7" t="inlineStr">
        <is>
          <t>Comptes clients</t>
        </is>
      </c>
      <c r="D78" s="7" t="inlineStr">
        <is>
          <t>Client, Agent</t>
        </is>
      </c>
      <c r="E78" s="7" t="inlineStr">
        <is>
          <t>Authentification sécurisée (identifiant/mot de passe, politique de robustesse) ; récupération de mot de passe en autonomie.</t>
        </is>
      </c>
      <c r="F78" s="7" t="inlineStr">
        <is>
          <t>/comptes/connexion, /comptes/mot-de-passe-oublie</t>
        </is>
      </c>
      <c r="G78" s="7" t="inlineStr">
        <is>
          <t>Non testé</t>
        </is>
      </c>
      <c r="H78" s="7" t="n"/>
      <c r="I78" s="7" t="n"/>
      <c r="J78" s="7" t="n"/>
    </row>
    <row r="79" ht="40" customHeight="1">
      <c r="A79" s="14" t="inlineStr">
        <is>
          <t>CPT-04</t>
        </is>
      </c>
      <c r="B79" s="15" t="inlineStr">
        <is>
          <t>Must</t>
        </is>
      </c>
      <c r="C79" s="7" t="inlineStr">
        <is>
          <t>Comptes clients</t>
        </is>
      </c>
      <c r="D79" s="7" t="inlineStr">
        <is>
          <t>Client</t>
        </is>
      </c>
      <c r="E79" s="7" t="inlineStr">
        <is>
          <t>Un client n'accède qu'à ses propres tickets, documents et échanges.</t>
        </is>
      </c>
      <c r="F79" s="7" t="inlineStr">
        <is>
          <t>Tous écrans client</t>
        </is>
      </c>
      <c r="G79" s="7" t="inlineStr">
        <is>
          <t>Non testé</t>
        </is>
      </c>
      <c r="H79" s="7" t="n"/>
      <c r="I79" s="7" t="n"/>
      <c r="J79" s="7" t="n"/>
    </row>
    <row r="80" ht="40" customHeight="1">
      <c r="A80" s="14" t="inlineStr">
        <is>
          <t>CPT-05</t>
        </is>
      </c>
      <c r="B80" s="15" t="inlineStr">
        <is>
          <t>Must</t>
        </is>
      </c>
      <c r="C80" s="7" t="inlineStr">
        <is>
          <t>Comptes clients</t>
        </is>
      </c>
      <c r="D80" s="7" t="inlineStr">
        <is>
          <t>Administrateur de société</t>
        </is>
      </c>
      <c r="E80" s="7" t="inlineStr">
        <is>
          <t>Gestion multi-utilisateurs pour une même société cliente (détail en ENT-01 à ENT-04).</t>
        </is>
      </c>
      <c r="F80" s="7" t="inlineStr">
        <is>
          <t>/comptes/collaborateurs</t>
        </is>
      </c>
      <c r="G80" s="7" t="inlineStr">
        <is>
          <t>Non testé</t>
        </is>
      </c>
      <c r="H80" s="7" t="n"/>
      <c r="I80" s="7" t="n"/>
      <c r="J80" s="7" t="n"/>
    </row>
    <row r="81" ht="40" customHeight="1">
      <c r="A81" s="14" t="inlineStr">
        <is>
          <t>CPT-06</t>
        </is>
      </c>
      <c r="B81" s="17" t="inlineStr">
        <is>
          <t>Should</t>
        </is>
      </c>
      <c r="C81" s="7" t="inlineStr">
        <is>
          <t>Comptes clients</t>
        </is>
      </c>
      <c r="D81" s="7" t="inlineStr">
        <is>
          <t>Administration CIT</t>
        </is>
      </c>
      <c r="E81" s="7" t="inlineStr">
        <is>
          <t>Modification du type de client par l'administrateur fonctionnel, tracée, sans effet rétroactif sur les tickets en cours.</t>
        </is>
      </c>
      <c r="F81" s="7" t="inlineStr">
        <is>
          <t>/comptes/modifier-type</t>
        </is>
      </c>
      <c r="G81" s="7" t="inlineStr">
        <is>
          <t>Non testé</t>
        </is>
      </c>
      <c r="H81" s="7" t="n"/>
      <c r="I81" s="7" t="n"/>
      <c r="J81" s="7" t="n"/>
    </row>
    <row r="82" ht="40" customHeight="1">
      <c r="A82" s="14" t="inlineStr">
        <is>
          <t>CPT-07</t>
        </is>
      </c>
      <c r="B82" s="16" t="inlineStr">
        <is>
          <t>Could</t>
        </is>
      </c>
      <c r="C82" s="7" t="inlineStr">
        <is>
          <t>Comptes clients</t>
        </is>
      </c>
      <c r="D82" s="7" t="inlineStr">
        <is>
          <t>Client, Agent</t>
        </is>
      </c>
      <c r="E82" s="7" t="inlineStr">
        <is>
          <t>Authentification renforcée (second facteur) pour les comptes clients et agents.</t>
        </is>
      </c>
      <c r="F82" s="7" t="inlineStr">
        <is>
          <t>/comptes/double-authentification</t>
        </is>
      </c>
      <c r="G82" s="7" t="inlineStr">
        <is>
          <t>Non testé</t>
        </is>
      </c>
      <c r="H82" s="7" t="n"/>
      <c r="I82" s="7" t="n"/>
      <c r="J82" s="7" t="n"/>
    </row>
    <row r="83" ht="40" customHeight="1">
      <c r="A83" s="14" t="inlineStr">
        <is>
          <t>ENT-01</t>
        </is>
      </c>
      <c r="B83" s="15" t="inlineStr">
        <is>
          <t>Must</t>
        </is>
      </c>
      <c r="C83" s="7" t="inlineStr">
        <is>
          <t>Compte entreprise</t>
        </is>
      </c>
      <c r="D83" s="7" t="inlineStr">
        <is>
          <t>Administrateur de société</t>
        </is>
      </c>
      <c r="E83" s="7" t="inlineStr">
        <is>
          <t>Une société cliente peut rattacher plusieurs utilisateurs à son compte.</t>
        </is>
      </c>
      <c r="F83" s="7" t="inlineStr">
        <is>
          <t>/comptes/collaborateurs</t>
        </is>
      </c>
      <c r="G83" s="7" t="inlineStr">
        <is>
          <t>Non testé</t>
        </is>
      </c>
      <c r="H83" s="7" t="n"/>
      <c r="I83" s="7" t="n"/>
      <c r="J83" s="7" t="n"/>
    </row>
    <row r="84" ht="40" customHeight="1">
      <c r="A84" s="14" t="inlineStr">
        <is>
          <t>ENT-02</t>
        </is>
      </c>
      <c r="B84" s="15" t="inlineStr">
        <is>
          <t>Must</t>
        </is>
      </c>
      <c r="C84" s="7" t="inlineStr">
        <is>
          <t>Compte entreprise</t>
        </is>
      </c>
      <c r="D84" s="7" t="inlineStr">
        <is>
          <t>Administrateur de société</t>
        </is>
      </c>
      <c r="E84" s="7" t="inlineStr">
        <is>
          <t>L'administrateur de société gère ses collaborateurs : activation/désactivation, droits de consultation et de soumission paramétrables.</t>
        </is>
      </c>
      <c r="F84" s="7" t="inlineStr">
        <is>
          <t>/comptes/collaborateurs</t>
        </is>
      </c>
      <c r="G84" s="7" t="inlineStr">
        <is>
          <t>Non testé</t>
        </is>
      </c>
      <c r="H84" s="7" t="n"/>
      <c r="I84" s="7" t="n"/>
      <c r="J84" s="7" t="n"/>
    </row>
    <row r="85" ht="40" customHeight="1">
      <c r="A85" s="14" t="inlineStr">
        <is>
          <t>ENT-03</t>
        </is>
      </c>
      <c r="B85" s="15" t="inlineStr">
        <is>
          <t>Must</t>
        </is>
      </c>
      <c r="C85" s="7" t="inlineStr">
        <is>
          <t>Compte entreprise</t>
        </is>
      </c>
      <c r="D85" s="7" t="inlineStr">
        <is>
          <t>Client, Administrateur de société</t>
        </is>
      </c>
      <c r="E85" s="7" t="inlineStr">
        <is>
          <t>La visibilité des dossiers dépend des droits accordés : demandes propres ou demandes de toute la société.</t>
        </is>
      </c>
      <c r="F85" s="7" t="inlineStr">
        <is>
          <t>/client/demandes, /client/demandes?vue=societe</t>
        </is>
      </c>
      <c r="G85" s="7" t="inlineStr">
        <is>
          <t>Non testé</t>
        </is>
      </c>
      <c r="H85" s="7" t="n"/>
      <c r="I85" s="7" t="n"/>
      <c r="J85" s="7" t="n"/>
    </row>
    <row r="86" ht="40" customHeight="1">
      <c r="A86" s="14" t="inlineStr">
        <is>
          <t>ENT-04</t>
        </is>
      </c>
      <c r="B86" s="17" t="inlineStr">
        <is>
          <t>Should</t>
        </is>
      </c>
      <c r="C86" s="7" t="inlineStr">
        <is>
          <t>Compte entreprise</t>
        </is>
      </c>
      <c r="D86" s="7" t="inlineStr">
        <is>
          <t>Administration CIT</t>
        </is>
      </c>
      <c r="E86" s="7" t="inlineStr">
        <is>
          <t>Journalisation des actions des administrateurs de société (ajout/retrait de collaborateurs, modification de droits).</t>
        </is>
      </c>
      <c r="F86" s="7" t="inlineStr">
        <is>
          <t>/administration/audit</t>
        </is>
      </c>
      <c r="G86" s="7" t="inlineStr">
        <is>
          <t>Non testé</t>
        </is>
      </c>
      <c r="H86" s="7" t="n"/>
      <c r="I86" s="7" t="n"/>
      <c r="J86" s="7" t="n"/>
    </row>
    <row r="87" ht="40" customHeight="1">
      <c r="A87" s="14" t="inlineStr">
        <is>
          <t>IMP-01</t>
        </is>
      </c>
      <c r="B87" s="15" t="inlineStr">
        <is>
          <t>Must</t>
        </is>
      </c>
      <c r="C87" s="7" t="inlineStr">
        <is>
          <t>Billing Office — IMPORT</t>
        </is>
      </c>
      <c r="D87" s="7" t="inlineStr">
        <is>
          <t>Client</t>
        </is>
      </c>
      <c r="E87" s="7" t="inlineStr">
        <is>
          <t>Formulaire dynamique : jusqu'à 5 BL par demande, dépôt des documents associés à chaque BL.</t>
        </is>
      </c>
      <c r="F87" s="7" t="inlineStr">
        <is>
          <t>/billing-import/soumettre</t>
        </is>
      </c>
      <c r="G87" s="7" t="inlineStr">
        <is>
          <t>Non testé</t>
        </is>
      </c>
      <c r="H87" s="7" t="n"/>
      <c r="I87" s="7" t="n"/>
      <c r="J87" s="7" t="n"/>
    </row>
    <row r="88" ht="40" customHeight="1">
      <c r="A88" s="14" t="inlineStr">
        <is>
          <t>IMP-02</t>
        </is>
      </c>
      <c r="B88" s="15" t="inlineStr">
        <is>
          <t>Must</t>
        </is>
      </c>
      <c r="C88" s="7" t="inlineStr">
        <is>
          <t>Billing Office — IMPORT</t>
        </is>
      </c>
      <c r="D88" s="7" t="inlineStr">
        <is>
          <t>Système</t>
        </is>
      </c>
      <c r="E88" s="7" t="inlineStr">
        <is>
          <t>Un ticket par BL généré à la validation, totalement indépendant, avec correspondance ticket ↔ BL.</t>
        </is>
      </c>
      <c r="F88" s="7" t="inlineStr">
        <is>
          <t>/billing-import/soumettre</t>
        </is>
      </c>
      <c r="G88" s="7" t="inlineStr">
        <is>
          <t>Non testé</t>
        </is>
      </c>
      <c r="H88" s="7" t="n"/>
      <c r="I88" s="7" t="n"/>
      <c r="J88" s="7" t="n"/>
    </row>
    <row r="89" ht="40" customHeight="1">
      <c r="A89" s="14" t="inlineStr">
        <is>
          <t>IMP-03</t>
        </is>
      </c>
      <c r="B89" s="15" t="inlineStr">
        <is>
          <t>Must</t>
        </is>
      </c>
      <c r="C89" s="7" t="inlineStr">
        <is>
          <t>Billing Office — IMPORT</t>
        </is>
      </c>
      <c r="D89" s="7" t="inlineStr">
        <is>
          <t>Client</t>
        </is>
      </c>
      <c r="E89" s="7" t="inlineStr">
        <is>
          <t>Le client reçoit ses numéros de ticket sur son profil et par e-mail.</t>
        </is>
      </c>
      <c r="F89" s="7" t="inlineStr">
        <is>
          <t>/client/demandes</t>
        </is>
      </c>
      <c r="G89" s="7" t="inlineStr">
        <is>
          <t>Non testé</t>
        </is>
      </c>
      <c r="H89" s="7" t="n"/>
      <c r="I89" s="7" t="n"/>
      <c r="J89" s="7" t="n"/>
    </row>
    <row r="90" ht="40" customHeight="1">
      <c r="A90" s="14" t="inlineStr">
        <is>
          <t>IMP-04</t>
        </is>
      </c>
      <c r="B90" s="15" t="inlineStr">
        <is>
          <t>Must</t>
        </is>
      </c>
      <c r="C90" s="7" t="inlineStr">
        <is>
          <t>Billing Office — IMPORT</t>
        </is>
      </c>
      <c r="D90" s="7" t="inlineStr">
        <is>
          <t>Pilote Manifeste</t>
        </is>
      </c>
      <c r="E90" s="7" t="inlineStr">
        <is>
          <t>Les tickets arrivent dans la file du Pilote Manifeste : Validé, Rejeté (motif) ou En attente de complément.</t>
        </is>
      </c>
      <c r="F90" s="7" t="inlineStr">
        <is>
          <t>/billing-import/manifeste</t>
        </is>
      </c>
      <c r="G90" s="7" t="inlineStr">
        <is>
          <t>Non testé</t>
        </is>
      </c>
      <c r="H90" s="7" t="n"/>
      <c r="I90" s="7" t="n"/>
      <c r="J90" s="7" t="n"/>
    </row>
    <row r="91" ht="40" customHeight="1">
      <c r="A91" s="14" t="inlineStr">
        <is>
          <t>IMP-05</t>
        </is>
      </c>
      <c r="B91" s="15" t="inlineStr">
        <is>
          <t>Must</t>
        </is>
      </c>
      <c r="C91" s="7" t="inlineStr">
        <is>
          <t>Billing Office — IMPORT</t>
        </is>
      </c>
      <c r="D91" s="7" t="inlineStr">
        <is>
          <t>Client, Pilote Manifeste</t>
        </is>
      </c>
      <c r="E91" s="7" t="inlineStr">
        <is>
          <t>En cas de complément, le client est notifié, dépose les éléments, le dossier revient chez le Pilote Manifeste.</t>
        </is>
      </c>
      <c r="F91" s="7" t="inlineStr">
        <is>
          <t>Détail d'un ticket</t>
        </is>
      </c>
      <c r="G91" s="7" t="inlineStr">
        <is>
          <t>Non testé</t>
        </is>
      </c>
      <c r="H91" s="7" t="n"/>
      <c r="I91" s="7" t="n"/>
      <c r="J91" s="7" t="n"/>
    </row>
    <row r="92" ht="40" customHeight="1">
      <c r="A92" s="14" t="inlineStr">
        <is>
          <t>IMP-06</t>
        </is>
      </c>
      <c r="B92" s="15" t="inlineStr">
        <is>
          <t>Must</t>
        </is>
      </c>
      <c r="C92" s="7" t="inlineStr">
        <is>
          <t>Billing Office — IMPORT</t>
        </is>
      </c>
      <c r="D92" s="7" t="inlineStr">
        <is>
          <t>Système</t>
        </is>
      </c>
      <c r="E92" s="7" t="inlineStr">
        <is>
          <t>À l'issue du contrôle BL, le ticket validé s'oriente automatiquement selon le type de client.</t>
        </is>
      </c>
      <c r="F92" s="7" t="inlineStr">
        <is>
          <t>Moteur de workflow</t>
        </is>
      </c>
      <c r="G92" s="7" t="inlineStr">
        <is>
          <t>Non testé</t>
        </is>
      </c>
      <c r="H92" s="7" t="n"/>
      <c r="I92" s="7" t="n"/>
      <c r="J92" s="7" t="n"/>
    </row>
    <row r="93" ht="40" customHeight="1">
      <c r="A93" s="14" t="inlineStr">
        <is>
          <t>UNI-01</t>
        </is>
      </c>
      <c r="B93" s="15" t="inlineStr">
        <is>
          <t>Must</t>
        </is>
      </c>
      <c r="C93" s="7" t="inlineStr">
        <is>
          <t>Billing Office — IMPORT</t>
        </is>
      </c>
      <c r="D93" s="7" t="inlineStr">
        <is>
          <t>Système</t>
        </is>
      </c>
      <c r="E93" s="7" t="inlineStr">
        <is>
          <t>Contrôle d'unicité : un ticket actif existant sur le même BL bloque une nouvelle création, avec accès proposé au ticket existant si droits.</t>
        </is>
      </c>
      <c r="F93" s="7" t="inlineStr">
        <is>
          <t>/billing-import/soumettre</t>
        </is>
      </c>
      <c r="G93" s="7" t="inlineStr">
        <is>
          <t>Non testé</t>
        </is>
      </c>
      <c r="H93" s="7" t="n"/>
      <c r="I93" s="7" t="n"/>
      <c r="J93" s="7" t="n"/>
    </row>
    <row r="94" ht="40" customHeight="1">
      <c r="A94" s="14" t="inlineStr">
        <is>
          <t>UNI-02</t>
        </is>
      </c>
      <c r="B94" s="15" t="inlineStr">
        <is>
          <t>Must</t>
        </is>
      </c>
      <c r="C94" s="7" t="inlineStr">
        <is>
          <t>Billing Office — IMPORT</t>
        </is>
      </c>
      <c r="D94" s="7" t="inlineStr">
        <is>
          <t>Système</t>
        </is>
      </c>
      <c r="E94" s="7" t="inlineStr">
        <is>
          <t>Un BL associé uniquement à un ticket clôturé ou annulé peut faire l'objet d'une nouvelle demande.</t>
        </is>
      </c>
      <c r="F94" s="7" t="inlineStr">
        <is>
          <t>/billing-import/soumettre</t>
        </is>
      </c>
      <c r="G94" s="7" t="inlineStr">
        <is>
          <t>Non testé</t>
        </is>
      </c>
      <c r="H94" s="7" t="n"/>
      <c r="I94" s="7" t="n"/>
      <c r="J94" s="7" t="n"/>
    </row>
    <row r="95" ht="40" customHeight="1">
      <c r="A95" s="14" t="inlineStr">
        <is>
          <t>UNI-03</t>
        </is>
      </c>
      <c r="B95" s="15" t="inlineStr">
        <is>
          <t>Must</t>
        </is>
      </c>
      <c r="C95" s="7" t="inlineStr">
        <is>
          <t>Billing Office — IMPORT</t>
        </is>
      </c>
      <c r="D95" s="7" t="inlineStr">
        <is>
          <t>Système</t>
        </is>
      </c>
      <c r="E95" s="7" t="inlineStr">
        <is>
          <t>Le contrôle porte sur chaque BL individuellement (n'empêche pas le même numéro dans un autre module).</t>
        </is>
      </c>
      <c r="F95" s="7" t="inlineStr">
        <is>
          <t>/billing-import/soumettre</t>
        </is>
      </c>
      <c r="G95" s="7" t="inlineStr">
        <is>
          <t>Non testé</t>
        </is>
      </c>
      <c r="H95" s="7" t="n"/>
      <c r="I95" s="7" t="n"/>
      <c r="J95" s="7" t="n"/>
    </row>
    <row r="96" ht="40" customHeight="1">
      <c r="A96" s="14" t="inlineStr">
        <is>
          <t>UNI-04</t>
        </is>
      </c>
      <c r="B96" s="17" t="inlineStr">
        <is>
          <t>Should</t>
        </is>
      </c>
      <c r="C96" s="7" t="inlineStr">
        <is>
          <t>Billing Office — IMPORT</t>
        </is>
      </c>
      <c r="D96" s="7" t="inlineStr">
        <is>
          <t>Système</t>
        </is>
      </c>
      <c r="E96" s="7" t="inlineStr">
        <is>
          <t>Pour l'EXPORT, une règle équivalente sur le numéro de booking pourra être mise en œuvre après validation métier.</t>
        </is>
      </c>
      <c r="F96" s="7" t="inlineStr">
        <is>
          <t>/billing-export/soumettre</t>
        </is>
      </c>
      <c r="G96" s="7" t="inlineStr">
        <is>
          <t>Non testé</t>
        </is>
      </c>
      <c r="H96" s="7" t="n"/>
      <c r="I96" s="7" t="n"/>
      <c r="J96" s="7" t="n"/>
    </row>
    <row r="97" ht="40" customHeight="1">
      <c r="A97" s="14" t="inlineStr">
        <is>
          <t>IMP-10</t>
        </is>
      </c>
      <c r="B97" s="15" t="inlineStr">
        <is>
          <t>Must</t>
        </is>
      </c>
      <c r="C97" s="7" t="inlineStr">
        <is>
          <t>IMPORT — client normal</t>
        </is>
      </c>
      <c r="D97" s="7" t="inlineStr">
        <is>
          <t>Client</t>
        </is>
      </c>
      <c r="E97" s="7" t="inlineStr">
        <is>
          <t>Après validation, le client demande la facture depuis son ticket ; passage en file Facturation.</t>
        </is>
      </c>
      <c r="F97" s="7" t="inlineStr">
        <is>
          <t>Détail d'un ticket (client)</t>
        </is>
      </c>
      <c r="G97" s="7" t="inlineStr">
        <is>
          <t>Non testé</t>
        </is>
      </c>
      <c r="H97" s="7" t="n"/>
      <c r="I97" s="7" t="n"/>
      <c r="J97" s="7" t="n"/>
    </row>
    <row r="98" ht="40" customHeight="1">
      <c r="A98" s="14" t="inlineStr">
        <is>
          <t>IMP-11</t>
        </is>
      </c>
      <c r="B98" s="15" t="inlineStr">
        <is>
          <t>Must</t>
        </is>
      </c>
      <c r="C98" s="7" t="inlineStr">
        <is>
          <t>IMPORT — client normal</t>
        </is>
      </c>
      <c r="D98" s="7" t="inlineStr">
        <is>
          <t>Pilote Facturation Terre</t>
        </is>
      </c>
      <c r="E98" s="7" t="inlineStr">
        <is>
          <t>Contrôles hors portail, édition de la facture, jointure au ticket, notification client.</t>
        </is>
      </c>
      <c r="F98" s="7" t="inlineStr">
        <is>
          <t>/billing-import/facturation</t>
        </is>
      </c>
      <c r="G98" s="7" t="inlineStr">
        <is>
          <t>Non testé</t>
        </is>
      </c>
      <c r="H98" s="7" t="n"/>
      <c r="I98" s="7" t="n"/>
      <c r="J98" s="7" t="n"/>
    </row>
    <row r="99" ht="40" customHeight="1">
      <c r="A99" s="14" t="inlineStr">
        <is>
          <t>IMP-12</t>
        </is>
      </c>
      <c r="B99" s="15" t="inlineStr">
        <is>
          <t>Must</t>
        </is>
      </c>
      <c r="C99" s="7" t="inlineStr">
        <is>
          <t>IMPORT — client normal</t>
        </is>
      </c>
      <c r="D99" s="7" t="inlineStr">
        <is>
          <t>Client</t>
        </is>
      </c>
      <c r="E99" s="7" t="inlineStr">
        <is>
          <t>Paiement hors portail (Wave/banque agréée) puis dépôt de la preuve de paiement.</t>
        </is>
      </c>
      <c r="F99" s="7" t="inlineStr">
        <is>
          <t>Détail d'un ticket (client)</t>
        </is>
      </c>
      <c r="G99" s="7" t="inlineStr">
        <is>
          <t>Non testé</t>
        </is>
      </c>
      <c r="H99" s="7" t="n"/>
      <c r="I99" s="7" t="n"/>
      <c r="J99" s="7" t="n"/>
    </row>
    <row r="100" ht="40" customHeight="1">
      <c r="A100" s="14" t="inlineStr">
        <is>
          <t>IMP-13</t>
        </is>
      </c>
      <c r="B100" s="15" t="inlineStr">
        <is>
          <t>Must</t>
        </is>
      </c>
      <c r="C100" s="7" t="inlineStr">
        <is>
          <t>IMPORT — client normal</t>
        </is>
      </c>
      <c r="D100" s="7" t="inlineStr">
        <is>
          <t>Caisse / Finance</t>
        </is>
      </c>
      <c r="E100" s="7" t="inlineStr">
        <is>
          <t>Validation interne de la preuve de paiement avant passage au Contrôle Documentaire (statuts en 3 temps).</t>
        </is>
      </c>
      <c r="F100" s="7" t="inlineStr">
        <is>
          <t>/billing-import/validation-paiement</t>
        </is>
      </c>
      <c r="G100" s="7" t="inlineStr">
        <is>
          <t>Non testé</t>
        </is>
      </c>
      <c r="H100" s="7" t="n"/>
      <c r="I100" s="7" t="n"/>
      <c r="J100" s="7" t="n"/>
    </row>
    <row r="101" ht="40" customHeight="1">
      <c r="A101" s="14" t="inlineStr">
        <is>
          <t>IMP-14</t>
        </is>
      </c>
      <c r="B101" s="15" t="inlineStr">
        <is>
          <t>Must</t>
        </is>
      </c>
      <c r="C101" s="7" t="inlineStr">
        <is>
          <t>IMPORT — client normal</t>
        </is>
      </c>
      <c r="D101" s="7" t="inlineStr">
        <is>
          <t>Pilote Contrôle Documentaire</t>
        </is>
      </c>
      <c r="E101" s="7" t="inlineStr">
        <is>
          <t>Vérification du dossier, dépôt Bon de Sortie + BADT, renvoi et clôture du ticket.</t>
        </is>
      </c>
      <c r="F101" s="7" t="inlineStr">
        <is>
          <t>/billing-import/controle-documentaire</t>
        </is>
      </c>
      <c r="G101" s="7" t="inlineStr">
        <is>
          <t>Non testé</t>
        </is>
      </c>
      <c r="H101" s="7" t="n"/>
      <c r="I101" s="7" t="n"/>
      <c r="J101" s="7" t="n"/>
    </row>
    <row r="102" ht="40" customHeight="1">
      <c r="A102" s="14" t="inlineStr">
        <is>
          <t>IMP-15</t>
        </is>
      </c>
      <c r="B102" s="17" t="inlineStr">
        <is>
          <t>Should</t>
        </is>
      </c>
      <c r="C102" s="7" t="inlineStr">
        <is>
          <t>IMPORT — client normal</t>
        </is>
      </c>
      <c r="D102" s="7" t="inlineStr">
        <is>
          <t>Client</t>
        </is>
      </c>
      <c r="E102" s="7" t="inlineStr">
        <is>
          <t>Alternative présentielle : prise de rendez-vous pour finaliser physiquement, trace de la bascule.</t>
        </is>
      </c>
      <c r="F102" s="7" t="inlineStr">
        <is>
          <t>/rendez-vous/mes-rendez-vous</t>
        </is>
      </c>
      <c r="G102" s="7" t="inlineStr">
        <is>
          <t>Non testé</t>
        </is>
      </c>
      <c r="H102" s="7" t="n"/>
      <c r="I102" s="7" t="n"/>
      <c r="J102" s="7" t="n"/>
    </row>
    <row r="103" ht="40" customHeight="1">
      <c r="A103" s="14" t="inlineStr">
        <is>
          <t>IMP-20</t>
        </is>
      </c>
      <c r="B103" s="15" t="inlineStr">
        <is>
          <t>Must</t>
        </is>
      </c>
      <c r="C103" s="7" t="inlineStr">
        <is>
          <t>IMPORT — client en compte</t>
        </is>
      </c>
      <c r="D103" s="7" t="inlineStr">
        <is>
          <t>Client, Pilote Facturation</t>
        </is>
      </c>
      <c r="E103" s="7" t="inlineStr">
        <is>
          <t>Parcours identique au client normal jusqu'à l'édition de la facture.</t>
        </is>
      </c>
      <c r="F103" s="7" t="inlineStr">
        <is>
          <t>/billing-import/facturation</t>
        </is>
      </c>
      <c r="G103" s="7" t="inlineStr">
        <is>
          <t>Non testé</t>
        </is>
      </c>
      <c r="H103" s="7" t="n"/>
      <c r="I103" s="7" t="n"/>
      <c r="J103" s="7" t="n"/>
    </row>
    <row r="104" ht="40" customHeight="1">
      <c r="A104" s="14" t="inlineStr">
        <is>
          <t>IMP-21</t>
        </is>
      </c>
      <c r="B104" s="15" t="inlineStr">
        <is>
          <t>Must</t>
        </is>
      </c>
      <c r="C104" s="7" t="inlineStr">
        <is>
          <t>IMPORT — client en compte</t>
        </is>
      </c>
      <c r="D104" s="7" t="inlineStr">
        <is>
          <t>Système</t>
        </is>
      </c>
      <c r="E104" s="7" t="inlineStr">
        <is>
          <t>Après facturation, transmission directe au Contrôle Documentaire, sans étape de paiement en ligne (règlement fin de mois hors portail).</t>
        </is>
      </c>
      <c r="F104" s="7" t="inlineStr">
        <is>
          <t>Moteur de workflow</t>
        </is>
      </c>
      <c r="G104" s="7" t="inlineStr">
        <is>
          <t>Non testé</t>
        </is>
      </c>
      <c r="H104" s="7" t="n"/>
      <c r="I104" s="7" t="n"/>
      <c r="J104" s="7" t="n"/>
    </row>
    <row r="105" ht="40" customHeight="1">
      <c r="A105" s="14" t="inlineStr">
        <is>
          <t>IMP-22</t>
        </is>
      </c>
      <c r="B105" s="15" t="inlineStr">
        <is>
          <t>Must</t>
        </is>
      </c>
      <c r="C105" s="7" t="inlineStr">
        <is>
          <t>IMPORT — client en compte</t>
        </is>
      </c>
      <c r="D105" s="7" t="inlineStr">
        <is>
          <t>Client</t>
        </is>
      </c>
      <c r="E105" s="7" t="inlineStr">
        <is>
          <t>Le client récupère son ticket clôturé avec facture, Bon de Sortie, BADT.</t>
        </is>
      </c>
      <c r="F105" s="7" t="inlineStr">
        <is>
          <t>Détail d'un ticket (client)</t>
        </is>
      </c>
      <c r="G105" s="7" t="inlineStr">
        <is>
          <t>Non testé</t>
        </is>
      </c>
      <c r="H105" s="7" t="n"/>
      <c r="I105" s="7" t="n"/>
      <c r="J105" s="7" t="n"/>
    </row>
    <row r="106" ht="40" customHeight="1">
      <c r="A106" s="14" t="inlineStr">
        <is>
          <t>IMP-30</t>
        </is>
      </c>
      <c r="B106" s="15" t="inlineStr">
        <is>
          <t>Must</t>
        </is>
      </c>
      <c r="C106" s="7" t="inlineStr">
        <is>
          <t>IMPORT — client deposit</t>
        </is>
      </c>
      <c r="D106" s="7" t="inlineStr">
        <is>
          <t>Client, Pilote Facturation</t>
        </is>
      </c>
      <c r="E106" s="7" t="inlineStr">
        <is>
          <t>Parcours identique au client normal jusqu'à l'édition de la facture.</t>
        </is>
      </c>
      <c r="F106" s="7" t="inlineStr">
        <is>
          <t>/billing-import/facturation</t>
        </is>
      </c>
      <c r="G106" s="7" t="inlineStr">
        <is>
          <t>Non testé</t>
        </is>
      </c>
      <c r="H106" s="7" t="n"/>
      <c r="I106" s="7" t="n"/>
      <c r="J106" s="7" t="n"/>
    </row>
    <row r="107" ht="40" customHeight="1">
      <c r="A107" s="14" t="inlineStr">
        <is>
          <t>IMP-31</t>
        </is>
      </c>
      <c r="B107" s="15" t="inlineStr">
        <is>
          <t>Must</t>
        </is>
      </c>
      <c r="C107" s="7" t="inlineStr">
        <is>
          <t>IMPORT — client deposit</t>
        </is>
      </c>
      <c r="D107" s="7" t="inlineStr">
        <is>
          <t>Comptable Client</t>
        </is>
      </c>
      <c r="E107" s="7" t="inlineStr">
        <is>
          <t>Transmission à la file Comptabilité Client pour lettrage (IRIS, hors portail), confirmation dans le ticket.</t>
        </is>
      </c>
      <c r="F107" s="7" t="inlineStr">
        <is>
          <t>/billing-import/comptabilite-client</t>
        </is>
      </c>
      <c r="G107" s="7" t="inlineStr">
        <is>
          <t>Non testé</t>
        </is>
      </c>
      <c r="H107" s="7" t="n"/>
      <c r="I107" s="7" t="n"/>
      <c r="J107" s="7" t="n"/>
    </row>
    <row r="108" ht="40" customHeight="1">
      <c r="A108" s="14" t="inlineStr">
        <is>
          <t>IMP-32</t>
        </is>
      </c>
      <c r="B108" s="15" t="inlineStr">
        <is>
          <t>Must</t>
        </is>
      </c>
      <c r="C108" s="7" t="inlineStr">
        <is>
          <t>IMPORT — client deposit</t>
        </is>
      </c>
      <c r="D108" s="7" t="inlineStr">
        <is>
          <t>Pilote Contrôle Documentaire</t>
        </is>
      </c>
      <c r="E108" s="7" t="inlineStr">
        <is>
          <t>Après lettrage, passage au Contrôle Documentaire puis retour au client avec ses documents.</t>
        </is>
      </c>
      <c r="F108" s="7" t="inlineStr">
        <is>
          <t>/billing-import/controle-documentaire</t>
        </is>
      </c>
      <c r="G108" s="7" t="inlineStr">
        <is>
          <t>Non testé</t>
        </is>
      </c>
      <c r="H108" s="7" t="n"/>
      <c r="I108" s="7" t="n"/>
      <c r="J108" s="7" t="n"/>
    </row>
    <row r="109" ht="40" customHeight="1">
      <c r="A109" s="14" t="inlineStr">
        <is>
          <t>IMP-40</t>
        </is>
      </c>
      <c r="B109" s="15" t="inlineStr">
        <is>
          <t>Must</t>
        </is>
      </c>
      <c r="C109" s="7" t="inlineStr">
        <is>
          <t>IMPORT — client IES</t>
        </is>
      </c>
      <c r="D109" s="7" t="inlineStr">
        <is>
          <t>Pilote Manifeste, Pilote Contrôle Documentaire</t>
        </is>
      </c>
      <c r="E109" s="7" t="inlineStr">
        <is>
          <t>Dès la création, traitement en parallèle par les deux rôles, chacun limité à ses champs/actions.</t>
        </is>
      </c>
      <c r="F109" s="7" t="inlineStr">
        <is>
          <t>/billing-import/ies</t>
        </is>
      </c>
      <c r="G109" s="7" t="inlineStr">
        <is>
          <t>Non testé</t>
        </is>
      </c>
      <c r="H109" s="7" t="n"/>
      <c r="I109" s="7" t="n"/>
      <c r="J109" s="7" t="n"/>
    </row>
    <row r="110" ht="40" customHeight="1">
      <c r="A110" s="14" t="inlineStr">
        <is>
          <t>IMP-41</t>
        </is>
      </c>
      <c r="B110" s="15" t="inlineStr">
        <is>
          <t>Must</t>
        </is>
      </c>
      <c r="C110" s="7" t="inlineStr">
        <is>
          <t>IMPORT — client IES</t>
        </is>
      </c>
      <c r="D110" s="7" t="inlineStr">
        <is>
          <t>Système</t>
        </is>
      </c>
      <c r="E110" s="7" t="inlineStr">
        <is>
          <t>Le ticket n'est retourné au client qu'une fois les deux traitements parallèles terminés (jointure).</t>
        </is>
      </c>
      <c r="F110" s="7" t="inlineStr">
        <is>
          <t>/billing-import/ies</t>
        </is>
      </c>
      <c r="G110" s="7" t="inlineStr">
        <is>
          <t>Non testé</t>
        </is>
      </c>
      <c r="H110" s="7" t="n"/>
      <c r="I110" s="7" t="n"/>
      <c r="J110" s="7" t="n"/>
    </row>
    <row r="111" ht="40" customHeight="1">
      <c r="A111" s="14" t="inlineStr">
        <is>
          <t>IMP-42</t>
        </is>
      </c>
      <c r="B111" s="15" t="inlineStr">
        <is>
          <t>Must</t>
        </is>
      </c>
      <c r="C111" s="7" t="inlineStr">
        <is>
          <t>IMPORT — client IES</t>
        </is>
      </c>
      <c r="D111" s="7" t="inlineStr">
        <is>
          <t>Client</t>
        </is>
      </c>
      <c r="E111" s="7" t="inlineStr">
        <is>
          <t>Le client finalise sur la plateforme IES ; le ticket portail se clôture à la remise des documents.</t>
        </is>
      </c>
      <c r="F111" s="7" t="inlineStr">
        <is>
          <t>Détail d'un ticket (client)</t>
        </is>
      </c>
      <c r="G111" s="7" t="inlineStr">
        <is>
          <t>Non testé</t>
        </is>
      </c>
      <c r="H111" s="7" t="n"/>
      <c r="I111" s="7" t="n"/>
      <c r="J111" s="7" t="n"/>
    </row>
    <row r="112" ht="40" customHeight="1">
      <c r="A112" s="14" t="inlineStr">
        <is>
          <t>EXP-01</t>
        </is>
      </c>
      <c r="B112" s="15" t="inlineStr">
        <is>
          <t>Must</t>
        </is>
      </c>
      <c r="C112" s="7" t="inlineStr">
        <is>
          <t>Billing Office — EXPORT</t>
        </is>
      </c>
      <c r="D112" s="7" t="inlineStr">
        <is>
          <t>Client</t>
        </is>
      </c>
      <c r="E112" s="7" t="inlineStr">
        <is>
          <t>Soumission d'un ou plusieurs bookings avec documents associés ; un ticket par booking.</t>
        </is>
      </c>
      <c r="F112" s="7" t="inlineStr">
        <is>
          <t>/billing-export/soumettre</t>
        </is>
      </c>
      <c r="G112" s="7" t="inlineStr">
        <is>
          <t>Non testé</t>
        </is>
      </c>
      <c r="H112" s="7" t="n"/>
      <c r="I112" s="7" t="n"/>
      <c r="J112" s="7" t="n"/>
    </row>
    <row r="113" ht="40" customHeight="1">
      <c r="A113" s="14" t="inlineStr">
        <is>
          <t>EXP-02</t>
        </is>
      </c>
      <c r="B113" s="15" t="inlineStr">
        <is>
          <t>Must</t>
        </is>
      </c>
      <c r="C113" s="7" t="inlineStr">
        <is>
          <t>Billing Office — EXPORT</t>
        </is>
      </c>
      <c r="D113" s="7" t="inlineStr">
        <is>
          <t>Back Office</t>
        </is>
      </c>
      <c r="E113" s="7" t="inlineStr">
        <is>
          <t>Création et codification du booking dans IPAKI (hors portail) : Codifié, Rejeté (motif) ou En attente de complément.</t>
        </is>
      </c>
      <c r="F113" s="7" t="inlineStr">
        <is>
          <t>/billing-export/back-office</t>
        </is>
      </c>
      <c r="G113" s="7" t="inlineStr">
        <is>
          <t>Non testé</t>
        </is>
      </c>
      <c r="H113" s="7" t="n"/>
      <c r="I113" s="7" t="n"/>
      <c r="J113" s="7" t="n"/>
    </row>
    <row r="114" ht="40" customHeight="1">
      <c r="A114" s="14" t="inlineStr">
        <is>
          <t>EXP-03</t>
        </is>
      </c>
      <c r="B114" s="15" t="inlineStr">
        <is>
          <t>Must</t>
        </is>
      </c>
      <c r="C114" s="7" t="inlineStr">
        <is>
          <t>Billing Office — EXPORT</t>
        </is>
      </c>
      <c r="D114" s="7" t="inlineStr">
        <is>
          <t>Pilote Facturation, Contrôle Documentaire</t>
        </is>
      </c>
      <c r="E114" s="7" t="inlineStr">
        <is>
          <t>Mêmes variantes que l'IMPORT après codification, avec Draft IN avant facturation et BEE comme document final.</t>
        </is>
      </c>
      <c r="F114" s="7" t="inlineStr">
        <is>
          <t>/billing-export/facturation, /billing-export/controle-documentaire</t>
        </is>
      </c>
      <c r="G114" s="7" t="inlineStr">
        <is>
          <t>Non testé</t>
        </is>
      </c>
      <c r="H114" s="7" t="n"/>
      <c r="I114" s="7" t="n"/>
      <c r="J114" s="7" t="n"/>
    </row>
    <row r="115" ht="40" customHeight="1">
      <c r="A115" s="14" t="inlineStr">
        <is>
          <t>EXP-04</t>
        </is>
      </c>
      <c r="B115" s="15" t="inlineStr">
        <is>
          <t>Must</t>
        </is>
      </c>
      <c r="C115" s="7" t="inlineStr">
        <is>
          <t>Billing Office — EXPORT</t>
        </is>
      </c>
      <c r="D115" s="7" t="inlineStr">
        <is>
          <t>Plateforme IES</t>
        </is>
      </c>
      <c r="E115" s="7" t="inlineStr">
        <is>
          <t>Pour le client IES export, facture et BEE générés côté IES après traitement parallèle et remise des documents.</t>
        </is>
      </c>
      <c r="F115" s="7" t="inlineStr">
        <is>
          <t>/billing-export/ies</t>
        </is>
      </c>
      <c r="G115" s="7" t="inlineStr">
        <is>
          <t>Non testé</t>
        </is>
      </c>
      <c r="H115" s="7" t="n"/>
      <c r="I115" s="7" t="n"/>
      <c r="J115" s="7" t="n"/>
    </row>
    <row r="116" ht="40" customHeight="1">
      <c r="A116" s="14" t="inlineStr">
        <is>
          <t>SIM-01</t>
        </is>
      </c>
      <c r="B116" s="15" t="inlineStr">
        <is>
          <t>Must</t>
        </is>
      </c>
      <c r="C116" s="7" t="inlineStr">
        <is>
          <t>Simulation de Proforma</t>
        </is>
      </c>
      <c r="D116" s="7" t="inlineStr">
        <is>
          <t>Client, Visiteur anonyme</t>
        </is>
      </c>
      <c r="E116" s="7" t="inlineStr">
        <is>
          <t>Le client (ou un visiteur) peut lancer une simulation de proforma en saisissant les caractéristiques de son dossier et de ses conteneurs.</t>
        </is>
      </c>
      <c r="F116" s="7" t="inlineStr">
        <is>
          <t>/simulation/proforma</t>
        </is>
      </c>
      <c r="G116" s="7" t="inlineStr">
        <is>
          <t>Non testé</t>
        </is>
      </c>
      <c r="H116" s="7" t="n"/>
      <c r="I116" s="7" t="n"/>
      <c r="J116" s="7" t="n"/>
    </row>
    <row r="117" ht="40" customHeight="1">
      <c r="A117" s="14" t="inlineStr">
        <is>
          <t>SIM-02</t>
        </is>
      </c>
      <c r="B117" s="15" t="inlineStr">
        <is>
          <t>Must</t>
        </is>
      </c>
      <c r="C117" s="7" t="inlineStr">
        <is>
          <t>Simulation de Proforma</t>
        </is>
      </c>
      <c r="D117" s="7" t="inlineStr">
        <is>
          <t>Système</t>
        </is>
      </c>
      <c r="E117" s="7" t="inlineStr">
        <is>
          <t>Calcul par conteneur : acconage, relevage, branchement frigo (Reefer), majorations, stationnement par tranches, répartition.</t>
        </is>
      </c>
      <c r="F117" s="7" t="inlineStr">
        <is>
          <t>Moteur de calcul (MoteurCalculProforma)</t>
        </is>
      </c>
      <c r="G117" s="7" t="inlineStr">
        <is>
          <t>Non testé</t>
        </is>
      </c>
      <c r="H117" s="7" t="n"/>
      <c r="I117" s="7" t="n"/>
      <c r="J117" s="7" t="n"/>
    </row>
    <row r="118" ht="40" customHeight="1">
      <c r="A118" s="14" t="inlineStr">
        <is>
          <t>SIM-03</t>
        </is>
      </c>
      <c r="B118" s="15" t="inlineStr">
        <is>
          <t>Must</t>
        </is>
      </c>
      <c r="C118" s="7" t="inlineStr">
        <is>
          <t>Simulation de Proforma</t>
        </is>
      </c>
      <c r="D118" s="7" t="inlineStr">
        <is>
          <t>Système</t>
        </is>
      </c>
      <c r="E118" s="7" t="inlineStr">
        <is>
          <t>Le tarif applicable est déterminé par la clé Sens + Taille + Catégorie de marchandise, à partir d'une grille administrable.</t>
        </is>
      </c>
      <c r="F118" s="7" t="inlineStr">
        <is>
          <t>/simulation/proforma</t>
        </is>
      </c>
      <c r="G118" s="7" t="inlineStr">
        <is>
          <t>Non testé</t>
        </is>
      </c>
      <c r="H118" s="7" t="n"/>
      <c r="I118" s="7" t="n"/>
      <c r="J118" s="7" t="n"/>
    </row>
    <row r="119" ht="40" customHeight="1">
      <c r="A119" s="14" t="inlineStr">
        <is>
          <t>SIM-04</t>
        </is>
      </c>
      <c r="B119" s="15" t="inlineStr">
        <is>
          <t>Must</t>
        </is>
      </c>
      <c r="C119" s="7" t="inlineStr">
        <is>
          <t>Simulation de Proforma</t>
        </is>
      </c>
      <c r="D119" s="7" t="inlineStr">
        <is>
          <t>Système</t>
        </is>
      </c>
      <c r="E119" s="7" t="inlineStr">
        <is>
          <t>La durée de séjour est déduite des dates d'arrivée et d'enlèvement prévisionnel.</t>
        </is>
      </c>
      <c r="F119" s="7" t="inlineStr">
        <is>
          <t>/simulation/proforma</t>
        </is>
      </c>
      <c r="G119" s="7" t="inlineStr">
        <is>
          <t>Non testé</t>
        </is>
      </c>
      <c r="H119" s="7" t="n"/>
      <c r="I119" s="7" t="n"/>
      <c r="J119" s="7" t="n"/>
    </row>
    <row r="120" ht="40" customHeight="1">
      <c r="A120" s="14" t="inlineStr">
        <is>
          <t>SIM-05</t>
        </is>
      </c>
      <c r="B120" s="15" t="inlineStr">
        <is>
          <t>Must</t>
        </is>
      </c>
      <c r="C120" s="7" t="inlineStr">
        <is>
          <t>Simulation de Proforma</t>
        </is>
      </c>
      <c r="D120" s="7" t="inlineStr">
        <is>
          <t>Système</t>
        </is>
      </c>
      <c r="E120" s="7" t="inlineStr">
        <is>
          <t>Le résultat présente le détail par conteneur, un total général, et la mention légale (proforma indicative).</t>
        </is>
      </c>
      <c r="F120" s="7" t="inlineStr">
        <is>
          <t xml:space="preserve"> Résultat de simulation</t>
        </is>
      </c>
      <c r="G120" s="7" t="inlineStr">
        <is>
          <t>Non testé</t>
        </is>
      </c>
      <c r="H120" s="7" t="n"/>
      <c r="I120" s="7" t="n"/>
      <c r="J120" s="7" t="n"/>
    </row>
    <row r="121" ht="40" customHeight="1">
      <c r="A121" s="14" t="inlineStr">
        <is>
          <t>SIM-06</t>
        </is>
      </c>
      <c r="B121" s="15" t="inlineStr">
        <is>
          <t>Must</t>
        </is>
      </c>
      <c r="C121" s="7" t="inlineStr">
        <is>
          <t>Simulation de Proforma</t>
        </is>
      </c>
      <c r="D121" s="7" t="inlineStr">
        <is>
          <t>Administrateur tarifaire</t>
        </is>
      </c>
      <c r="E121" s="7" t="inlineStr">
        <is>
          <t>Tous les paramètres de calcul sont administrables sans développement (grille, taux, seuils, franchises, tranches, quotes-parts, référentiels).</t>
        </is>
      </c>
      <c r="F121" s="7" t="inlineStr">
        <is>
          <t>/admin/tarification, /admin/tarification/referentiels</t>
        </is>
      </c>
      <c r="G121" s="7" t="inlineStr">
        <is>
          <t>Non testé</t>
        </is>
      </c>
      <c r="H121" s="7" t="n"/>
      <c r="I121" s="7" t="n"/>
      <c r="J121" s="7" t="n"/>
    </row>
    <row r="122" ht="40" customHeight="1">
      <c r="A122" s="14" t="inlineStr">
        <is>
          <t>SIM-07</t>
        </is>
      </c>
      <c r="B122" s="15" t="inlineStr">
        <is>
          <t>Must</t>
        </is>
      </c>
      <c r="C122" s="7" t="inlineStr">
        <is>
          <t>Simulation de Proforma</t>
        </is>
      </c>
      <c r="D122" s="7" t="inlineStr">
        <is>
          <t>Administrateur tarifaire</t>
        </is>
      </c>
      <c r="E122" s="7" t="inlineStr">
        <is>
          <t>Les grilles tarifaires sont versionnées avec une date d'effet ; l'historique des grilles est conservé.</t>
        </is>
      </c>
      <c r="F122" s="7" t="inlineStr">
        <is>
          <t>/admin/tarification</t>
        </is>
      </c>
      <c r="G122" s="7" t="inlineStr">
        <is>
          <t>Non testé</t>
        </is>
      </c>
      <c r="H122" s="7" t="n"/>
      <c r="I122" s="7" t="n"/>
      <c r="J122" s="7" t="n"/>
    </row>
    <row r="123" ht="40" customHeight="1">
      <c r="A123" s="14" t="inlineStr">
        <is>
          <t>SIM-08</t>
        </is>
      </c>
      <c r="B123" s="17" t="inlineStr">
        <is>
          <t>Should</t>
        </is>
      </c>
      <c r="C123" s="7" t="inlineStr">
        <is>
          <t>Simulation de Proforma</t>
        </is>
      </c>
      <c r="D123" s="7" t="inlineStr">
        <is>
          <t>Client</t>
        </is>
      </c>
      <c r="E123" s="7" t="inlineStr">
        <is>
          <t>Le client peut enregistrer une simulation, la retrouver sur son profil et la rattacher à un ticket.</t>
        </is>
      </c>
      <c r="F123" s="7" t="inlineStr">
        <is>
          <t>/simulation/historique</t>
        </is>
      </c>
      <c r="G123" s="7" t="inlineStr">
        <is>
          <t>Non testé</t>
        </is>
      </c>
      <c r="H123" s="7" t="n"/>
      <c r="I123" s="7" t="n"/>
      <c r="J123" s="7" t="n"/>
    </row>
    <row r="124" ht="40" customHeight="1">
      <c r="A124" s="14" t="inlineStr">
        <is>
          <t>SIM-09</t>
        </is>
      </c>
      <c r="B124" s="17" t="inlineStr">
        <is>
          <t>Should</t>
        </is>
      </c>
      <c r="C124" s="7" t="inlineStr">
        <is>
          <t>Simulation de Proforma</t>
        </is>
      </c>
      <c r="D124" s="7" t="inlineStr">
        <is>
          <t>Client</t>
        </is>
      </c>
      <c r="E124" s="7" t="inlineStr">
        <is>
          <t>Le client peut exporter/imprimer le résultat de simulation (PDF).</t>
        </is>
      </c>
      <c r="F124" s="7" t="inlineStr">
        <is>
          <t>Résultat de simulation</t>
        </is>
      </c>
      <c r="G124" s="7" t="inlineStr">
        <is>
          <t>Non testé</t>
        </is>
      </c>
      <c r="H124" s="7" t="n"/>
      <c r="I124" s="7" t="n"/>
      <c r="J124" s="7" t="n"/>
    </row>
    <row r="125" ht="40" customHeight="1">
      <c r="A125" s="14" t="inlineStr">
        <is>
          <t>SIM-10</t>
        </is>
      </c>
      <c r="B125" s="17" t="inlineStr">
        <is>
          <t>Should</t>
        </is>
      </c>
      <c r="C125" s="7" t="inlineStr">
        <is>
          <t>Simulation de Proforma</t>
        </is>
      </c>
      <c r="D125" s="7" t="inlineStr">
        <is>
          <t>Administrateur tarifaire</t>
        </is>
      </c>
      <c r="E125" s="7" t="inlineStr">
        <is>
          <t>L'administrateur peut charger une nouvelle grille tarifaire par import (tableur) en plus de la saisie manuelle.</t>
        </is>
      </c>
      <c r="F125" s="7" t="inlineStr">
        <is>
          <t>/admin/tarification (import CSV)</t>
        </is>
      </c>
      <c r="G125" s="7" t="inlineStr">
        <is>
          <t>Non testé</t>
        </is>
      </c>
      <c r="H125" s="7" t="n"/>
      <c r="I125" s="7" t="n"/>
      <c r="J125" s="7" t="n"/>
    </row>
    <row r="126" ht="40" customHeight="1">
      <c r="A126" s="14" t="inlineStr">
        <is>
          <t>SIM-11</t>
        </is>
      </c>
      <c r="B126" s="16" t="inlineStr">
        <is>
          <t>Could</t>
        </is>
      </c>
      <c r="C126" s="7" t="inlineStr">
        <is>
          <t>Simulation de Proforma</t>
        </is>
      </c>
      <c r="D126" s="7" t="inlineStr">
        <is>
          <t>Client</t>
        </is>
      </c>
      <c r="E126" s="7" t="inlineStr">
        <is>
          <t>Contrôles de cohérence à la saisie (taille/type reconnus, catégorie compatible avec le sens) avec messages d'aide.</t>
        </is>
      </c>
      <c r="F126" s="7" t="inlineStr">
        <is>
          <t>/simulation/proforma</t>
        </is>
      </c>
      <c r="G126" s="7" t="inlineStr">
        <is>
          <t>Non testé</t>
        </is>
      </c>
      <c r="H126" s="7" t="n"/>
      <c r="I126" s="7" t="n"/>
      <c r="J126" s="7" t="n"/>
    </row>
    <row r="127" ht="40" customHeight="1">
      <c r="A127" s="14" t="inlineStr">
        <is>
          <t>AVE-01</t>
        </is>
      </c>
      <c r="B127" s="15" t="inlineStr">
        <is>
          <t>Must</t>
        </is>
      </c>
      <c r="C127" s="7" t="inlineStr">
        <is>
          <t>Avoir et Exonération</t>
        </is>
      </c>
      <c r="D127" s="7" t="inlineStr">
        <is>
          <t>Client</t>
        </is>
      </c>
      <c r="E127" s="7" t="inlineStr">
        <is>
          <t>Le client peut soumettre une demande d'avoir ou d'exonération avec justificatifs ; chaque demande génère un ticket.</t>
        </is>
      </c>
      <c r="F127" s="7" t="inlineStr">
        <is>
          <t>/avoir-exoneration/soumettre</t>
        </is>
      </c>
      <c r="G127" s="7" t="inlineStr">
        <is>
          <t>Non testé</t>
        </is>
      </c>
      <c r="H127" s="7" t="n"/>
      <c r="I127" s="7" t="n"/>
      <c r="J127" s="7" t="n"/>
    </row>
    <row r="128" ht="40" customHeight="1">
      <c r="A128" s="14" t="inlineStr">
        <is>
          <t>AVE-02</t>
        </is>
      </c>
      <c r="B128" s="15" t="inlineStr">
        <is>
          <t>Must</t>
        </is>
      </c>
      <c r="C128" s="7" t="inlineStr">
        <is>
          <t>Avoir et Exonération</t>
        </is>
      </c>
      <c r="D128" s="7" t="inlineStr">
        <is>
          <t>Administration CIT</t>
        </is>
      </c>
      <c r="E128" s="7" t="inlineStr">
        <is>
          <t>Chaque type de demande suit son propre workflow de validation, avec étapes et intervenants paramétrables.</t>
        </is>
      </c>
      <c r="F128" s="7" t="inlineStr">
        <is>
          <t>/avoir-exoneration/file</t>
        </is>
      </c>
      <c r="G128" s="7" t="inlineStr">
        <is>
          <t>Non testé</t>
        </is>
      </c>
      <c r="H128" s="7" t="n"/>
      <c r="I128" s="7" t="n"/>
      <c r="J128" s="7" t="n"/>
    </row>
    <row r="129" ht="40" customHeight="1">
      <c r="A129" s="14" t="inlineStr">
        <is>
          <t>AVE-03</t>
        </is>
      </c>
      <c r="B129" s="15" t="inlineStr">
        <is>
          <t>Must</t>
        </is>
      </c>
      <c r="C129" s="7" t="inlineStr">
        <is>
          <t>Avoir et Exonération</t>
        </is>
      </c>
      <c r="D129" s="7" t="inlineStr">
        <is>
          <t>Agent habilité</t>
        </is>
      </c>
      <c r="E129" s="7" t="inlineStr">
        <is>
          <t>La décision (accord/rejet motivé) et les documents associés sont déposés dans le ticket et notifiés au client.</t>
        </is>
      </c>
      <c r="F129" s="7" t="inlineStr">
        <is>
          <t>/avoir-exoneration/file</t>
        </is>
      </c>
      <c r="G129" s="7" t="inlineStr">
        <is>
          <t>Non testé</t>
        </is>
      </c>
      <c r="H129" s="7" t="n"/>
      <c r="I129" s="7" t="n"/>
      <c r="J129" s="7" t="n"/>
    </row>
    <row r="130" ht="40" customHeight="1">
      <c r="A130" s="14" t="inlineStr">
        <is>
          <t>AVE-04</t>
        </is>
      </c>
      <c r="B130" s="17" t="inlineStr">
        <is>
          <t>Should</t>
        </is>
      </c>
      <c r="C130" s="7" t="inlineStr">
        <is>
          <t>Avoir et Exonération</t>
        </is>
      </c>
      <c r="D130" s="7" t="inlineStr">
        <is>
          <t>Client, Agent</t>
        </is>
      </c>
      <c r="E130" s="7" t="inlineStr">
        <is>
          <t>Une demande d'avoir/exonération peut être liée au ticket de parcours client concerné.</t>
        </is>
      </c>
      <c r="F130" s="7" t="inlineStr">
        <is>
          <t>Détail d'un ticket</t>
        </is>
      </c>
      <c r="G130" s="7" t="inlineStr">
        <is>
          <t>Non testé</t>
        </is>
      </c>
      <c r="H130" s="7" t="n"/>
      <c r="I130" s="7" t="n"/>
      <c r="J130" s="7" t="n"/>
    </row>
    <row r="131" ht="40" customHeight="1">
      <c r="A131" s="14" t="inlineStr">
        <is>
          <t>REC-01</t>
        </is>
      </c>
      <c r="B131" s="15" t="inlineStr">
        <is>
          <t>Must</t>
        </is>
      </c>
      <c r="C131" s="7" t="inlineStr">
        <is>
          <t>Customer Complaint</t>
        </is>
      </c>
      <c r="D131" s="7" t="inlineStr">
        <is>
          <t>Client</t>
        </is>
      </c>
      <c r="E131" s="7" t="inlineStr">
        <is>
          <t>Le client crée une demande en sélectionnant une catégorie ; chaque demande génère un ticket tracé de bout en bout.</t>
        </is>
      </c>
      <c r="F131" s="7" t="inlineStr">
        <is>
          <t>/reclamations/soumettre</t>
        </is>
      </c>
      <c r="G131" s="7" t="inlineStr">
        <is>
          <t>Non testé</t>
        </is>
      </c>
      <c r="H131" s="7" t="n"/>
      <c r="I131" s="7" t="n"/>
      <c r="J131" s="7" t="n"/>
    </row>
    <row r="132" ht="40" customHeight="1">
      <c r="A132" s="14" t="inlineStr">
        <is>
          <t>REC-02</t>
        </is>
      </c>
      <c r="B132" s="15" t="inlineStr">
        <is>
          <t>Must</t>
        </is>
      </c>
      <c r="C132" s="7" t="inlineStr">
        <is>
          <t>Customer Complaint</t>
        </is>
      </c>
      <c r="D132" s="7" t="inlineStr">
        <is>
          <t>Administration CIT</t>
        </is>
      </c>
      <c r="E132" s="7" t="inlineStr">
        <is>
          <t>Les catégories sont paramétrables et dynamiques (facturation, assistance, opérationnel, documentaire, juridique, autre).</t>
        </is>
      </c>
      <c r="F132" s="7" t="inlineStr">
        <is>
          <t>/reclamations/administration-categories</t>
        </is>
      </c>
      <c r="G132" s="7" t="inlineStr">
        <is>
          <t>Non testé</t>
        </is>
      </c>
      <c r="H132" s="7" t="n"/>
      <c r="I132" s="7" t="n"/>
      <c r="J132" s="7" t="n"/>
    </row>
    <row r="133" ht="40" customHeight="1">
      <c r="A133" s="14" t="inlineStr">
        <is>
          <t>REC-03</t>
        </is>
      </c>
      <c r="B133" s="15" t="inlineStr">
        <is>
          <t>Must</t>
        </is>
      </c>
      <c r="C133" s="7" t="inlineStr">
        <is>
          <t>Customer Complaint</t>
        </is>
      </c>
      <c r="D133" s="7" t="inlineStr">
        <is>
          <t>Support Opérationnel</t>
        </is>
      </c>
      <c r="E133" s="7" t="inlineStr">
        <is>
          <t>Les tickets sont orientés vers le Support Opérationnel qui instruit, demande des compléments, échange, oriente.</t>
        </is>
      </c>
      <c r="F133" s="7" t="inlineStr">
        <is>
          <t>/reclamations/file</t>
        </is>
      </c>
      <c r="G133" s="7" t="inlineStr">
        <is>
          <t>Non testé</t>
        </is>
      </c>
      <c r="H133" s="7" t="n"/>
      <c r="I133" s="7" t="n"/>
      <c r="J133" s="7" t="n"/>
    </row>
    <row r="134" ht="40" customHeight="1">
      <c r="A134" s="14" t="inlineStr">
        <is>
          <t>REC-04</t>
        </is>
      </c>
      <c r="B134" s="15" t="inlineStr">
        <is>
          <t>Must</t>
        </is>
      </c>
      <c r="C134" s="7" t="inlineStr">
        <is>
          <t>Customer Complaint</t>
        </is>
      </c>
      <c r="D134" s="7" t="inlineStr">
        <is>
          <t>Support Opérationnel</t>
        </is>
      </c>
      <c r="E134" s="7" t="inlineStr">
        <is>
          <t>La clôture comporte une réponse formalisée au client, conservée dans le ticket.</t>
        </is>
      </c>
      <c r="F134" s="7" t="inlineStr">
        <is>
          <t>/reclamations/file</t>
        </is>
      </c>
      <c r="G134" s="7" t="inlineStr">
        <is>
          <t>Non testé</t>
        </is>
      </c>
      <c r="H134" s="7" t="n"/>
      <c r="I134" s="7" t="n"/>
      <c r="J134" s="7" t="n"/>
    </row>
    <row r="135" ht="40" customHeight="1">
      <c r="A135" s="14" t="inlineStr">
        <is>
          <t>REC-05</t>
        </is>
      </c>
      <c r="B135" s="17" t="inlineStr">
        <is>
          <t>Should</t>
        </is>
      </c>
      <c r="C135" s="7" t="inlineStr">
        <is>
          <t>Customer Complaint</t>
        </is>
      </c>
      <c r="D135" s="7" t="inlineStr">
        <is>
          <t>Administration CIT</t>
        </is>
      </c>
      <c r="E135" s="7" t="inlineStr">
        <is>
          <t>Règles d'orientation automatique par catégorie (file/service destinataire paramétrable).</t>
        </is>
      </c>
      <c r="F135" s="7" t="inlineStr">
        <is>
          <t>/reclamations/administration-categories</t>
        </is>
      </c>
      <c r="G135" s="7" t="inlineStr">
        <is>
          <t>Non testé</t>
        </is>
      </c>
      <c r="H135" s="7" t="n"/>
      <c r="I135" s="7" t="n"/>
      <c r="J135" s="7" t="n"/>
    </row>
    <row r="136" ht="40" customHeight="1">
      <c r="A136" s="14" t="inlineStr">
        <is>
          <t>REC-06</t>
        </is>
      </c>
      <c r="B136" s="16" t="inlineStr">
        <is>
          <t>Could</t>
        </is>
      </c>
      <c r="C136" s="7" t="inlineStr">
        <is>
          <t>Customer Complaint</t>
        </is>
      </c>
      <c r="D136" s="7" t="inlineStr">
        <is>
          <t>Client</t>
        </is>
      </c>
      <c r="E136" s="7" t="inlineStr">
        <is>
          <t>Enquête de satisfaction à la clôture du ticket.</t>
        </is>
      </c>
      <c r="F136" s="7" t="inlineStr">
        <is>
          <t>Détail d'un ticket clôturé (client)</t>
        </is>
      </c>
      <c r="G136" s="7" t="inlineStr">
        <is>
          <t>Non testé</t>
        </is>
      </c>
      <c r="H136" s="7" t="n"/>
      <c r="I136" s="7" t="n"/>
      <c r="J136" s="7" t="n"/>
    </row>
    <row r="137" ht="40" customHeight="1">
      <c r="A137" s="14" t="inlineStr">
        <is>
          <t>ENR-01</t>
        </is>
      </c>
      <c r="B137" s="15" t="inlineStr">
        <is>
          <t>Must</t>
        </is>
      </c>
      <c r="C137" s="7" t="inlineStr">
        <is>
          <t>Enrôlement Transporteurs</t>
        </is>
      </c>
      <c r="D137" s="7" t="inlineStr">
        <is>
          <t>Transporteur / Chauffeur</t>
        </is>
      </c>
      <c r="E137" s="7" t="inlineStr">
        <is>
          <t>Le chauffeur renseigne à distance les informations et dépose les pièces demandées ; liste paramétrable.</t>
        </is>
      </c>
      <c r="F137" s="7" t="inlineStr">
        <is>
          <t>/comptes/inscription-transporteur, /enrolement/soumettre</t>
        </is>
      </c>
      <c r="G137" s="7" t="inlineStr">
        <is>
          <t>Non testé</t>
        </is>
      </c>
      <c r="H137" s="7" t="n"/>
      <c r="I137" s="7" t="n"/>
      <c r="J137" s="7" t="n"/>
    </row>
    <row r="138" ht="40" customHeight="1">
      <c r="A138" s="14" t="inlineStr">
        <is>
          <t>ENR-02</t>
        </is>
      </c>
      <c r="B138" s="15" t="inlineStr">
        <is>
          <t>Must</t>
        </is>
      </c>
      <c r="C138" s="7" t="inlineStr">
        <is>
          <t>Enrôlement Transporteurs</t>
        </is>
      </c>
      <c r="D138" s="7" t="inlineStr">
        <is>
          <t>Agent Gate</t>
        </is>
      </c>
      <c r="E138" s="7" t="inlineStr">
        <is>
          <t>La soumission génère un ticket transmis à la Gate, qui vérifie, demande des compléments ou valide.</t>
        </is>
      </c>
      <c r="F138" s="7" t="inlineStr">
        <is>
          <t>/enrolement/file-agent-gate</t>
        </is>
      </c>
      <c r="G138" s="7" t="inlineStr">
        <is>
          <t>Non testé</t>
        </is>
      </c>
      <c r="H138" s="7" t="n"/>
      <c r="I138" s="7" t="n"/>
      <c r="J138" s="7" t="n"/>
    </row>
    <row r="139" ht="40" customHeight="1">
      <c r="A139" s="14" t="inlineStr">
        <is>
          <t>ENR-03</t>
        </is>
      </c>
      <c r="B139" s="15" t="inlineStr">
        <is>
          <t>Must</t>
        </is>
      </c>
      <c r="C139" s="7" t="inlineStr">
        <is>
          <t>Enrôlement Transporteurs</t>
        </is>
      </c>
      <c r="D139" s="7" t="inlineStr">
        <is>
          <t>Agent Gate, Transporteur</t>
        </is>
      </c>
      <c r="E139" s="7" t="inlineStr">
        <is>
          <t>Le déplacement physique n'est requis que pour la photo et la remise du badge ; le ticket trace la convocation.</t>
        </is>
      </c>
      <c r="F139" s="7" t="inlineStr">
        <is>
          <t>/enrolement/file-agent-gate</t>
        </is>
      </c>
      <c r="G139" s="7" t="inlineStr">
        <is>
          <t>Non testé</t>
        </is>
      </c>
      <c r="H139" s="7" t="n"/>
      <c r="I139" s="7" t="n"/>
      <c r="J139" s="7" t="n"/>
    </row>
    <row r="140" ht="40" customHeight="1">
      <c r="A140" s="14" t="inlineStr">
        <is>
          <t>ENR-04</t>
        </is>
      </c>
      <c r="B140" s="17" t="inlineStr">
        <is>
          <t>Should</t>
        </is>
      </c>
      <c r="C140" s="7" t="inlineStr">
        <is>
          <t>Enrôlement Transporteurs</t>
        </is>
      </c>
      <c r="D140" s="7" t="inlineStr">
        <is>
          <t>Système</t>
        </is>
      </c>
      <c r="E140" s="7" t="inlineStr">
        <is>
          <t>Notification au chauffeur (SMS/WhatsApp prioritaires) à chaque étape clé.</t>
        </is>
      </c>
      <c r="F140" s="7" t="inlineStr">
        <is>
          <t>Canal de notification (fournisseur SMS/WhatsApp requis — décision externe)</t>
        </is>
      </c>
      <c r="G140" s="7" t="inlineStr">
        <is>
          <t>Non testé</t>
        </is>
      </c>
      <c r="H140" s="7" t="n"/>
      <c r="I140" s="7" t="n"/>
      <c r="J140" s="7" t="n"/>
    </row>
    <row r="141" ht="40" customHeight="1">
      <c r="A141" s="14" t="inlineStr">
        <is>
          <t>ENR-05</t>
        </is>
      </c>
      <c r="B141" s="16" t="inlineStr">
        <is>
          <t>Could</t>
        </is>
      </c>
      <c r="C141" s="7" t="inlineStr">
        <is>
          <t>Enrôlement Transporteurs</t>
        </is>
      </c>
      <c r="D141" s="7" t="inlineStr">
        <is>
          <t>Système</t>
        </is>
      </c>
      <c r="E141" s="7" t="inlineStr">
        <is>
          <t>Gestion du renouvellement des badges avec rappel automatique avant expiration.</t>
        </is>
      </c>
      <c r="F141" s="7" t="inlineStr">
        <is>
          <t>Module Enrôlement</t>
        </is>
      </c>
      <c r="G141" s="7" t="inlineStr">
        <is>
          <t>Non testé</t>
        </is>
      </c>
      <c r="H141" s="7" t="n"/>
      <c r="I141" s="7" t="n"/>
      <c r="J141" s="7" t="n"/>
    </row>
    <row r="142" ht="40" customHeight="1">
      <c r="A142" s="14" t="inlineStr">
        <is>
          <t>COM-01</t>
        </is>
      </c>
      <c r="B142" s="15" t="inlineStr">
        <is>
          <t>Must</t>
        </is>
      </c>
      <c r="C142" s="7" t="inlineStr">
        <is>
          <t>Communication multicanale</t>
        </is>
      </c>
      <c r="D142" s="7" t="inlineStr">
        <is>
          <t>Système</t>
        </is>
      </c>
      <c r="E142" s="7" t="inlineStr">
        <is>
          <t>Notification client via e-mail, portail, et au moins un canal mobile (WhatsApp/SMS) selon les événements du workflow.</t>
        </is>
      </c>
      <c r="F142" s="7" t="inlineStr">
        <is>
          <t>Moteur de notifications</t>
        </is>
      </c>
      <c r="G142" s="7" t="inlineStr">
        <is>
          <t>Non testé</t>
        </is>
      </c>
      <c r="H142" s="7" t="n"/>
      <c r="I142" s="7" t="n"/>
      <c r="J142" s="7" t="n"/>
    </row>
    <row r="143" ht="40" customHeight="1">
      <c r="A143" s="14" t="inlineStr">
        <is>
          <t>COM-02</t>
        </is>
      </c>
      <c r="B143" s="15" t="inlineStr">
        <is>
          <t>Must</t>
        </is>
      </c>
      <c r="C143" s="7" t="inlineStr">
        <is>
          <t>Communication multicanale</t>
        </is>
      </c>
      <c r="D143" s="7" t="inlineStr">
        <is>
          <t>Système</t>
        </is>
      </c>
      <c r="E143" s="7" t="inlineStr">
        <is>
          <t>Chaque notification comporte un lien invitant à se connecter directement au ticket.</t>
        </is>
      </c>
      <c r="F143" s="7" t="inlineStr">
        <is>
          <t>Notifications e-mail/portail</t>
        </is>
      </c>
      <c r="G143" s="7" t="inlineStr">
        <is>
          <t>Non testé</t>
        </is>
      </c>
      <c r="H143" s="7" t="n"/>
      <c r="I143" s="7" t="n"/>
      <c r="J143" s="7" t="n"/>
    </row>
    <row r="144" ht="40" customHeight="1">
      <c r="A144" s="14" t="inlineStr">
        <is>
          <t>COM-03</t>
        </is>
      </c>
      <c r="B144" s="15" t="inlineStr">
        <is>
          <t>Must</t>
        </is>
      </c>
      <c r="C144" s="7" t="inlineStr">
        <is>
          <t>Communication multicanale</t>
        </is>
      </c>
      <c r="D144" s="7" t="inlineStr">
        <is>
          <t>Administration CIT</t>
        </is>
      </c>
      <c r="E144" s="7" t="inlineStr">
        <is>
          <t>Les événements déclencheurs et modèles de messages sont paramétrables (par module, étape, canal).</t>
        </is>
      </c>
      <c r="F144" s="7" t="inlineStr">
        <is>
          <t>/administration/notifications</t>
        </is>
      </c>
      <c r="G144" s="7" t="inlineStr">
        <is>
          <t>Non testé</t>
        </is>
      </c>
      <c r="H144" s="7" t="n"/>
      <c r="I144" s="7" t="n"/>
      <c r="J144" s="7" t="n"/>
    </row>
    <row r="145" ht="40" customHeight="1">
      <c r="A145" s="14" t="inlineStr">
        <is>
          <t>COM-04</t>
        </is>
      </c>
      <c r="B145" s="15" t="inlineStr">
        <is>
          <t>Must</t>
        </is>
      </c>
      <c r="C145" s="7" t="inlineStr">
        <is>
          <t>Communication multicanale</t>
        </is>
      </c>
      <c r="D145" s="7" t="inlineStr">
        <is>
          <t>Client, Agent</t>
        </is>
      </c>
      <c r="E145" s="7" t="inlineStr">
        <is>
          <t>Le chat/commentaires du ticket est le canal d'échange de référence, horodaté et conservé.</t>
        </is>
      </c>
      <c r="F145" s="7" t="inlineStr">
        <is>
          <t>Fil de commentaires du ticket</t>
        </is>
      </c>
      <c r="G145" s="7" t="inlineStr">
        <is>
          <t>Non testé</t>
        </is>
      </c>
      <c r="H145" s="7" t="n"/>
      <c r="I145" s="7" t="n"/>
      <c r="J145" s="7" t="n"/>
    </row>
    <row r="146" ht="40" customHeight="1">
      <c r="A146" s="14" t="inlineStr">
        <is>
          <t>COM-05</t>
        </is>
      </c>
      <c r="B146" s="17" t="inlineStr">
        <is>
          <t>Should</t>
        </is>
      </c>
      <c r="C146" s="7" t="inlineStr">
        <is>
          <t>Communication multicanale</t>
        </is>
      </c>
      <c r="D146" s="7" t="inlineStr">
        <is>
          <t>Client</t>
        </is>
      </c>
      <c r="E146" s="7" t="inlineStr">
        <is>
          <t>Préférences de canaux par client (activation/désactivation, hors notifications obligatoires).</t>
        </is>
      </c>
      <c r="F146" s="7" t="inlineStr">
        <is>
          <t>/notifications/preferences</t>
        </is>
      </c>
      <c r="G146" s="7" t="inlineStr">
        <is>
          <t>Non testé</t>
        </is>
      </c>
      <c r="H146" s="7" t="n"/>
      <c r="I146" s="7" t="n"/>
      <c r="J146" s="7" t="n"/>
    </row>
    <row r="147" ht="40" customHeight="1">
      <c r="A147" s="14" t="inlineStr">
        <is>
          <t>COM-06</t>
        </is>
      </c>
      <c r="B147" s="16" t="inlineStr">
        <is>
          <t>Could</t>
        </is>
      </c>
      <c r="C147" s="7" t="inlineStr">
        <is>
          <t>Communication multicanale</t>
        </is>
      </c>
      <c r="D147" s="7" t="inlineStr">
        <is>
          <t>Système</t>
        </is>
      </c>
      <c r="E147" s="7" t="inlineStr">
        <is>
          <t>Relances automatiques paramétrables en attente d'action client au-delà d'un délai défini.</t>
        </is>
      </c>
      <c r="F147" s="7" t="inlineStr">
        <is>
          <t>Moteur de notifications</t>
        </is>
      </c>
      <c r="G147" s="7" t="inlineStr">
        <is>
          <t>Non testé</t>
        </is>
      </c>
      <c r="H147" s="7" t="n"/>
      <c r="I147" s="7" t="n"/>
      <c r="J147" s="7" t="n"/>
    </row>
    <row r="148" ht="40" customHeight="1">
      <c r="A148" s="14" t="inlineStr">
        <is>
          <t>NOT-01</t>
        </is>
      </c>
      <c r="B148" s="15" t="inlineStr">
        <is>
          <t>Must</t>
        </is>
      </c>
      <c r="C148" s="7" t="inlineStr">
        <is>
          <t>Centre de notifications</t>
        </is>
      </c>
      <c r="D148" s="7" t="inlineStr">
        <is>
          <t>Client, Agent</t>
        </is>
      </c>
      <c r="E148" s="7" t="inlineStr">
        <is>
          <t>Chaque notification a un état Lu/Non lu et permet d'accéder directement au ticket.</t>
        </is>
      </c>
      <c r="F148" s="7" t="inlineStr">
        <is>
          <t>Centre de notifications (cloche)</t>
        </is>
      </c>
      <c r="G148" s="7" t="inlineStr">
        <is>
          <t>Non testé</t>
        </is>
      </c>
      <c r="H148" s="7" t="n"/>
      <c r="I148" s="7" t="n"/>
      <c r="J148" s="7" t="n"/>
    </row>
    <row r="149" ht="40" customHeight="1">
      <c r="A149" s="14" t="inlineStr">
        <is>
          <t>NOT-02</t>
        </is>
      </c>
      <c r="B149" s="15" t="inlineStr">
        <is>
          <t>Must</t>
        </is>
      </c>
      <c r="C149" s="7" t="inlineStr">
        <is>
          <t>Centre de notifications</t>
        </is>
      </c>
      <c r="D149" s="7" t="inlineStr">
        <is>
          <t>Administration CIT</t>
        </is>
      </c>
      <c r="E149" s="7" t="inlineStr">
        <is>
          <t>Les règles de diffusion sont paramétrables par événement et par canal.</t>
        </is>
      </c>
      <c r="F149" s="7" t="inlineStr">
        <is>
          <t>/administration/notifications</t>
        </is>
      </c>
      <c r="G149" s="7" t="inlineStr">
        <is>
          <t>Non testé</t>
        </is>
      </c>
      <c r="H149" s="7" t="n"/>
      <c r="I149" s="7" t="n"/>
      <c r="J149" s="7" t="n"/>
    </row>
    <row r="150" ht="40" customHeight="1">
      <c r="A150" s="14" t="inlineStr">
        <is>
          <t>NOT-03</t>
        </is>
      </c>
      <c r="B150" s="17" t="inlineStr">
        <is>
          <t>Should</t>
        </is>
      </c>
      <c r="C150" s="7" t="inlineStr">
        <is>
          <t>Centre de notifications</t>
        </is>
      </c>
      <c r="D150" s="7" t="inlineStr">
        <is>
          <t>Client, Agent</t>
        </is>
      </c>
      <c r="E150" s="7" t="inlineStr">
        <is>
          <t>Un indicateur du nombre de notifications non lues est visible en permanence.</t>
        </is>
      </c>
      <c r="F150" s="7" t="inlineStr">
        <is>
          <t>Cloche de notification (HeaderBar)</t>
        </is>
      </c>
      <c r="G150" s="7" t="inlineStr">
        <is>
          <t>Non testé</t>
        </is>
      </c>
      <c r="H150" s="7" t="n"/>
      <c r="I150" s="7" t="n"/>
      <c r="J150" s="7" t="n"/>
    </row>
    <row r="151" ht="40" customHeight="1">
      <c r="A151" s="14" t="inlineStr">
        <is>
          <t>CON-01</t>
        </is>
      </c>
      <c r="B151" s="15" t="inlineStr">
        <is>
          <t>Must</t>
        </is>
      </c>
      <c r="C151" s="7" t="inlineStr">
        <is>
          <t>Continuité digital/présentiel</t>
        </is>
      </c>
      <c r="D151" s="7" t="inlineStr">
        <is>
          <t>Client, Agent Guichet</t>
        </is>
      </c>
      <c r="E151" s="7" t="inlineStr">
        <is>
          <t>Un client peut commencer en ligne et poursuivre physiquement (ou l'inverse) sans recommencer son dossier.</t>
        </is>
      </c>
      <c r="F151" s="7" t="inlineStr">
        <is>
          <t>Détail d'un ticket, guichet</t>
        </is>
      </c>
      <c r="G151" s="7" t="inlineStr">
        <is>
          <t>Non testé</t>
        </is>
      </c>
      <c r="H151" s="7" t="n"/>
      <c r="I151" s="7" t="n"/>
      <c r="J151" s="7" t="n"/>
    </row>
    <row r="152" ht="40" customHeight="1">
      <c r="A152" s="14" t="inlineStr">
        <is>
          <t>CON-02</t>
        </is>
      </c>
      <c r="B152" s="15" t="inlineStr">
        <is>
          <t>Must</t>
        </is>
      </c>
      <c r="C152" s="7" t="inlineStr">
        <is>
          <t>Continuité digital/présentiel</t>
        </is>
      </c>
      <c r="D152" s="7" t="inlineStr">
        <is>
          <t>Agent Guichet</t>
        </is>
      </c>
      <c r="E152" s="7" t="inlineStr">
        <is>
          <t>Les agents de guichet disposent d'une recherche rapide de ticket (numéro, client, BL/booking).</t>
        </is>
      </c>
      <c r="F152" s="7" t="inlineStr">
        <is>
          <t>/guichet/recherche</t>
        </is>
      </c>
      <c r="G152" s="7" t="inlineStr">
        <is>
          <t>Non testé</t>
        </is>
      </c>
      <c r="H152" s="7" t="n"/>
      <c r="I152" s="7" t="n"/>
      <c r="J152" s="7" t="n"/>
    </row>
    <row r="153" ht="40" customHeight="1">
      <c r="A153" s="14" t="inlineStr">
        <is>
          <t>CON-03</t>
        </is>
      </c>
      <c r="B153" s="15" t="inlineStr">
        <is>
          <t>Must</t>
        </is>
      </c>
      <c r="C153" s="7" t="inlineStr">
        <is>
          <t>Continuité digital/présentiel</t>
        </is>
      </c>
      <c r="D153" s="7" t="inlineStr">
        <is>
          <t>Client, Agent Guichet</t>
        </is>
      </c>
      <c r="E153" s="7" t="inlineStr">
        <is>
          <t>Le client prend rendez-vous quand la présence physique est nécessaire ; le rendez-vous donne accès au bureau de facturation.</t>
        </is>
      </c>
      <c r="F153" s="7" t="inlineStr">
        <is>
          <t>/rendez-vous/mes-rendez-vous, /guichet/agenda</t>
        </is>
      </c>
      <c r="G153" s="7" t="inlineStr">
        <is>
          <t>Non testé</t>
        </is>
      </c>
      <c r="H153" s="7" t="n"/>
      <c r="I153" s="7" t="n"/>
      <c r="J153" s="7" t="n"/>
    </row>
    <row r="154" ht="40" customHeight="1">
      <c r="A154" s="14" t="inlineStr">
        <is>
          <t>CON-04</t>
        </is>
      </c>
      <c r="B154" s="17" t="inlineStr">
        <is>
          <t>Should</t>
        </is>
      </c>
      <c r="C154" s="7" t="inlineStr">
        <is>
          <t>Continuité digital/présentiel</t>
        </is>
      </c>
      <c r="D154" s="7" t="inlineStr">
        <is>
          <t>Système</t>
        </is>
      </c>
      <c r="E154" s="7" t="inlineStr">
        <is>
          <t>La plateforme et le système de file d'attente physique restent distincts, avec redirection possible (pas d'intégration API requise).</t>
        </is>
      </c>
      <c r="F154" s="7" t="inlineStr">
        <is>
          <t>/guichet/agenda</t>
        </is>
      </c>
      <c r="G154" s="7" t="inlineStr">
        <is>
          <t>Non testé</t>
        </is>
      </c>
      <c r="H154" s="7" t="n"/>
      <c r="I154" s="7" t="n"/>
      <c r="J154" s="7" t="n"/>
    </row>
    <row r="155" ht="40" customHeight="1">
      <c r="A155" s="14" t="inlineStr">
        <is>
          <t>IA-01</t>
        </is>
      </c>
      <c r="B155" s="15" t="inlineStr">
        <is>
          <t>Must</t>
        </is>
      </c>
      <c r="C155" s="7" t="inlineStr">
        <is>
          <t>Assistant virtuel IA</t>
        </is>
      </c>
      <c r="D155" s="7" t="inlineStr">
        <is>
          <t>Client, Visiteur</t>
        </is>
      </c>
      <c r="E155" s="7" t="inlineStr">
        <is>
          <t>L'assistant répond aux questions simples des clients en langage naturel, en français.</t>
        </is>
      </c>
      <c r="F155" s="7" t="inlineStr">
        <is>
          <t>Assistant conversationnel</t>
        </is>
      </c>
      <c r="G155" s="7" t="inlineStr">
        <is>
          <t>Non testé</t>
        </is>
      </c>
      <c r="H155" s="7" t="n"/>
      <c r="I155" s="7" t="n"/>
      <c r="J155" s="7" t="n"/>
    </row>
    <row r="156" ht="40" customHeight="1">
      <c r="A156" s="14" t="inlineStr">
        <is>
          <t>IA-02</t>
        </is>
      </c>
      <c r="B156" s="15" t="inlineStr">
        <is>
          <t>Must</t>
        </is>
      </c>
      <c r="C156" s="7" t="inlineStr">
        <is>
          <t>Assistant virtuel IA</t>
        </is>
      </c>
      <c r="D156" s="7" t="inlineStr">
        <is>
          <t>Client</t>
        </is>
      </c>
      <c r="E156" s="7" t="inlineStr">
        <is>
          <t>L'assistant oriente le client dans ses démarches et l'aide à compléter ses dossiers.</t>
        </is>
      </c>
      <c r="F156" s="7" t="inlineStr">
        <is>
          <t>Assistant conversationnel</t>
        </is>
      </c>
      <c r="G156" s="7" t="inlineStr">
        <is>
          <t>Non testé</t>
        </is>
      </c>
      <c r="H156" s="7" t="n"/>
      <c r="I156" s="7" t="n"/>
      <c r="J156" s="7" t="n"/>
    </row>
    <row r="157" ht="40" customHeight="1">
      <c r="A157" s="14" t="inlineStr">
        <is>
          <t>IA-03</t>
        </is>
      </c>
      <c r="B157" s="15" t="inlineStr">
        <is>
          <t>Must</t>
        </is>
      </c>
      <c r="C157" s="7" t="inlineStr">
        <is>
          <t>Assistant virtuel IA</t>
        </is>
      </c>
      <c r="D157" s="7" t="inlineStr">
        <is>
          <t>Système</t>
        </is>
      </c>
      <c r="E157" s="7" t="inlineStr">
        <is>
          <t>L'assistant n'escalade vers un opérateur humain que si nécessaire, sans perte de contexte.</t>
        </is>
      </c>
      <c r="F157" s="7" t="inlineStr">
        <is>
          <t>Assistant conversationnel</t>
        </is>
      </c>
      <c r="G157" s="7" t="inlineStr">
        <is>
          <t>Non testé</t>
        </is>
      </c>
      <c r="H157" s="7" t="n"/>
      <c r="I157" s="7" t="n"/>
      <c r="J157" s="7" t="n"/>
    </row>
    <row r="158" ht="40" customHeight="1">
      <c r="A158" s="14" t="inlineStr">
        <is>
          <t>IA-04</t>
        </is>
      </c>
      <c r="B158" s="17" t="inlineStr">
        <is>
          <t>Should</t>
        </is>
      </c>
      <c r="C158" s="7" t="inlineStr">
        <is>
          <t>Assistant virtuel IA</t>
        </is>
      </c>
      <c r="D158" s="7" t="inlineStr">
        <is>
          <t>Administration CIT</t>
        </is>
      </c>
      <c r="E158" s="7" t="inlineStr">
        <is>
          <t>L'assistant s'appuie sur une base de connaissances administrable sans développement, cite sa source si pertinent.</t>
        </is>
      </c>
      <c r="F158" s="7" t="inlineStr">
        <is>
          <t>/administration/assistant</t>
        </is>
      </c>
      <c r="G158" s="7" t="inlineStr">
        <is>
          <t>Non testé</t>
        </is>
      </c>
      <c r="H158" s="7" t="n"/>
      <c r="I158" s="7" t="n"/>
      <c r="J158" s="7" t="n"/>
    </row>
    <row r="159" ht="40" customHeight="1">
      <c r="A159" s="14" t="inlineStr">
        <is>
          <t>IA-05</t>
        </is>
      </c>
      <c r="B159" s="17" t="inlineStr">
        <is>
          <t>Should</t>
        </is>
      </c>
      <c r="C159" s="7" t="inlineStr">
        <is>
          <t>Assistant virtuel IA</t>
        </is>
      </c>
      <c r="D159" s="7" t="inlineStr">
        <is>
          <t>Client</t>
        </is>
      </c>
      <c r="E159" s="7" t="inlineStr">
        <is>
          <t>L'assistant est accessible depuis le portail et, si possible, depuis les canaux de messagerie configurés.</t>
        </is>
      </c>
      <c r="F159" s="7" t="inlineStr">
        <is>
          <t>Assistant conversationnel (fournisseur LLM requis — décision externe)</t>
        </is>
      </c>
      <c r="G159" s="7" t="inlineStr">
        <is>
          <t>Non testé</t>
        </is>
      </c>
      <c r="H159" s="7" t="n"/>
      <c r="I159" s="7" t="n"/>
      <c r="J159" s="7" t="n"/>
    </row>
    <row r="160" ht="40" customHeight="1">
      <c r="A160" s="14" t="inlineStr">
        <is>
          <t>IA-06</t>
        </is>
      </c>
      <c r="B160" s="15" t="inlineStr">
        <is>
          <t>Must</t>
        </is>
      </c>
      <c r="C160" s="7" t="inlineStr">
        <is>
          <t>Assistant virtuel IA</t>
        </is>
      </c>
      <c r="D160" s="7" t="inlineStr">
        <is>
          <t>Système</t>
        </is>
      </c>
      <c r="E160" s="7" t="inlineStr">
        <is>
          <t>L'assistant identifie les situations nécessitant une intervention humaine et permet le transfert sans perte de contexte.</t>
        </is>
      </c>
      <c r="F160" s="7" t="inlineStr">
        <is>
          <t>Assistant conversationnel</t>
        </is>
      </c>
      <c r="G160" s="7" t="inlineStr">
        <is>
          <t>Non testé</t>
        </is>
      </c>
      <c r="H160" s="7" t="n"/>
      <c r="I160" s="7" t="n"/>
      <c r="J160" s="7" t="n"/>
    </row>
    <row r="161" ht="40" customHeight="1">
      <c r="A161" s="14" t="inlineStr">
        <is>
          <t>IA-07</t>
        </is>
      </c>
      <c r="B161" s="15" t="inlineStr">
        <is>
          <t>Must</t>
        </is>
      </c>
      <c r="C161" s="7" t="inlineStr">
        <is>
          <t>Assistant virtuel IA</t>
        </is>
      </c>
      <c r="D161" s="7" t="inlineStr">
        <is>
          <t>Client</t>
        </is>
      </c>
      <c r="E161" s="7" t="inlineStr">
        <is>
          <t>Le client peut demander une intervention humaine lorsque les règles le permettent.</t>
        </is>
      </c>
      <c r="F161" s="7" t="inlineStr">
        <is>
          <t>Assistant conversationnel</t>
        </is>
      </c>
      <c r="G161" s="7" t="inlineStr">
        <is>
          <t>Non testé</t>
        </is>
      </c>
      <c r="H161" s="7" t="n"/>
      <c r="I161" s="7" t="n"/>
      <c r="J161" s="7" t="n"/>
    </row>
    <row r="162" ht="40" customHeight="1">
      <c r="A162" s="14" t="inlineStr">
        <is>
          <t>ACR-01</t>
        </is>
      </c>
      <c r="B162" s="15" t="inlineStr">
        <is>
          <t>Must</t>
        </is>
      </c>
      <c r="C162" s="7" t="inlineStr">
        <is>
          <t>Écrans — Espace client</t>
        </is>
      </c>
      <c r="D162" s="7" t="inlineStr">
        <is>
          <t>Client</t>
        </is>
      </c>
      <c r="E162" s="7" t="inlineStr">
        <is>
          <t>Le tableau de bord met en évidence les actions attendues du client (« Mes actions requises »), distinctes de la liste des tickets.</t>
        </is>
      </c>
      <c r="F162" s="7" t="inlineStr">
        <is>
          <t>/client/dashboard</t>
        </is>
      </c>
      <c r="G162" s="7" t="inlineStr">
        <is>
          <t>Non testé</t>
        </is>
      </c>
      <c r="H162" s="7" t="n"/>
      <c r="I162" s="7" t="n"/>
      <c r="J162" s="7" t="n"/>
    </row>
    <row r="163" ht="40" customHeight="1">
      <c r="A163" s="14" t="inlineStr">
        <is>
          <t>SEC-01</t>
        </is>
      </c>
      <c r="B163" s="15" t="inlineStr">
        <is>
          <t>Must</t>
        </is>
      </c>
      <c r="C163" s="7" t="inlineStr">
        <is>
          <t>Sécurité</t>
        </is>
      </c>
      <c r="D163" s="7" t="inlineStr">
        <is>
          <t>Tous rôles</t>
        </is>
      </c>
      <c r="E163" s="7" t="inlineStr">
        <is>
          <t>Authentification obligatoire pour tout accès ; politique de mots de passe robuste ; verrouillage après échecs répétés.</t>
        </is>
      </c>
      <c r="F163" s="7" t="inlineStr">
        <is>
          <t>/comptes/connexion</t>
        </is>
      </c>
      <c r="G163" s="7" t="inlineStr">
        <is>
          <t>Non testé</t>
        </is>
      </c>
      <c r="H163" s="7" t="n"/>
      <c r="I163" s="7" t="n"/>
      <c r="J163" s="7" t="n"/>
    </row>
    <row r="164" ht="40" customHeight="1">
      <c r="A164" s="14" t="inlineStr">
        <is>
          <t>SEC-02</t>
        </is>
      </c>
      <c r="B164" s="15" t="inlineStr">
        <is>
          <t>Must</t>
        </is>
      </c>
      <c r="C164" s="7" t="inlineStr">
        <is>
          <t>Sécurité</t>
        </is>
      </c>
      <c r="D164" s="7" t="inlineStr">
        <is>
          <t>Système</t>
        </is>
      </c>
      <c r="E164" s="7" t="inlineStr">
        <is>
          <t>Contrôle d'accès par rôles (RBAC) appliquant le moindre privilège, y compris au niveau des champs en traitement parallèle.</t>
        </is>
      </c>
      <c r="F164" s="7" t="inlineStr">
        <is>
          <t>Transverse (Permission.*)</t>
        </is>
      </c>
      <c r="G164" s="7" t="inlineStr">
        <is>
          <t>Non testé</t>
        </is>
      </c>
      <c r="H164" s="7" t="n"/>
      <c r="I164" s="7" t="n"/>
      <c r="J164" s="7" t="n"/>
    </row>
    <row r="165" ht="40" customHeight="1">
      <c r="A165" s="14" t="inlineStr">
        <is>
          <t>SEC-03</t>
        </is>
      </c>
      <c r="B165" s="15" t="inlineStr">
        <is>
          <t>Must</t>
        </is>
      </c>
      <c r="C165" s="7" t="inlineStr">
        <is>
          <t>Sécurité</t>
        </is>
      </c>
      <c r="D165" s="7" t="inlineStr">
        <is>
          <t>Système</t>
        </is>
      </c>
      <c r="E165" s="7" t="inlineStr">
        <is>
          <t>Cloisonnement strict des données : un client n'accède qu'à ses tickets ; un agent qu'aux files/actions de son rôle.</t>
        </is>
      </c>
      <c r="F165" s="7" t="inlineStr">
        <is>
          <t>Transverse</t>
        </is>
      </c>
      <c r="G165" s="7" t="inlineStr">
        <is>
          <t>Non testé</t>
        </is>
      </c>
      <c r="H165" s="7" t="n"/>
      <c r="I165" s="7" t="n"/>
      <c r="J165" s="7" t="n"/>
    </row>
    <row r="166" ht="40" customHeight="1">
      <c r="A166" s="14" t="inlineStr">
        <is>
          <t>SEC-04</t>
        </is>
      </c>
      <c r="B166" s="15" t="inlineStr">
        <is>
          <t>Must</t>
        </is>
      </c>
      <c r="C166" s="7" t="inlineStr">
        <is>
          <t>Sécurité</t>
        </is>
      </c>
      <c r="D166" s="7" t="inlineStr">
        <is>
          <t>Système</t>
        </is>
      </c>
      <c r="E166" s="7" t="inlineStr">
        <is>
          <t>Chiffrement des échanges (HTTPS/TLS) et protection des documents stockés.</t>
        </is>
      </c>
      <c r="F166" s="7" t="inlineStr">
        <is>
          <t>Infrastructure</t>
        </is>
      </c>
      <c r="G166" s="7" t="inlineStr">
        <is>
          <t>Non testé</t>
        </is>
      </c>
      <c r="H166" s="7" t="n"/>
      <c r="I166" s="7" t="n"/>
      <c r="J166" s="7" t="n"/>
    </row>
    <row r="167" ht="40" customHeight="1">
      <c r="A167" s="14" t="inlineStr">
        <is>
          <t>SEC-05</t>
        </is>
      </c>
      <c r="B167" s="15" t="inlineStr">
        <is>
          <t>Must</t>
        </is>
      </c>
      <c r="C167" s="7" t="inlineStr">
        <is>
          <t>Sécurité</t>
        </is>
      </c>
      <c r="D167" s="7" t="inlineStr">
        <is>
          <t>Administration CIT</t>
        </is>
      </c>
      <c r="E167" s="7" t="inlineStr">
        <is>
          <t>Journal d'audit complet et non modifiable des actions utilisateurs et administrateurs.</t>
        </is>
      </c>
      <c r="F167" s="7" t="inlineStr">
        <is>
          <t>/administration/audit</t>
        </is>
      </c>
      <c r="G167" s="7" t="inlineStr">
        <is>
          <t>Non testé</t>
        </is>
      </c>
      <c r="H167" s="7" t="n"/>
      <c r="I167" s="7" t="n"/>
      <c r="J167" s="7" t="n"/>
    </row>
    <row r="168" ht="40" customHeight="1">
      <c r="A168" s="14" t="inlineStr">
        <is>
          <t>SEC-06</t>
        </is>
      </c>
      <c r="B168" s="15" t="inlineStr">
        <is>
          <t>Must</t>
        </is>
      </c>
      <c r="C168" s="7" t="inlineStr">
        <is>
          <t>Sécurité</t>
        </is>
      </c>
      <c r="D168" s="7" t="inlineStr">
        <is>
          <t>Client</t>
        </is>
      </c>
      <c r="E168" s="7" t="inlineStr">
        <is>
          <t>Protection des données personnelles (ARTCI) : minimisation, durées de conservation, droits des personnes.</t>
        </is>
      </c>
      <c r="F168" s="7" t="inlineStr">
        <is>
          <t>/comptes/mes-donnees (export/anonymisation)</t>
        </is>
      </c>
      <c r="G168" s="7" t="inlineStr">
        <is>
          <t>Non testé</t>
        </is>
      </c>
      <c r="H168" s="7" t="n"/>
      <c r="I168" s="7" t="n"/>
      <c r="J168" s="7" t="n"/>
    </row>
    <row r="169" ht="40" customHeight="1">
      <c r="A169" s="14" t="inlineStr">
        <is>
          <t>SEC-07</t>
        </is>
      </c>
      <c r="B169" s="15" t="inlineStr">
        <is>
          <t>Must</t>
        </is>
      </c>
      <c r="C169" s="7" t="inlineStr">
        <is>
          <t>Sécurité</t>
        </is>
      </c>
      <c r="D169" s="7" t="inlineStr">
        <is>
          <t>Système</t>
        </is>
      </c>
      <c r="E169" s="7" t="inlineStr">
        <is>
          <t>Contrôle des fichiers déposés : types autorisés, taille maximale, analyse antivirale.</t>
        </is>
      </c>
      <c r="F169" s="7" t="inlineStr">
        <is>
          <t>Tout dépôt de document</t>
        </is>
      </c>
      <c r="G169" s="7" t="inlineStr">
        <is>
          <t>Non testé</t>
        </is>
      </c>
      <c r="H169" s="7" t="n"/>
      <c r="I169" s="7" t="n"/>
      <c r="J169" s="7" t="n"/>
    </row>
    <row r="170" ht="40" customHeight="1">
      <c r="A170" s="14" t="inlineStr">
        <is>
          <t>SEC-08</t>
        </is>
      </c>
      <c r="B170" s="17" t="inlineStr">
        <is>
          <t>Should</t>
        </is>
      </c>
      <c r="C170" s="7" t="inlineStr">
        <is>
          <t>Sécurité</t>
        </is>
      </c>
      <c r="D170" s="7" t="inlineStr">
        <is>
          <t>Client, Agent</t>
        </is>
      </c>
      <c r="E170" s="7" t="inlineStr">
        <is>
          <t>Second facteur d'authentification pour les profils agents et administrateurs.</t>
        </is>
      </c>
      <c r="F170" s="7" t="inlineStr">
        <is>
          <t>/comptes/double-authentification</t>
        </is>
      </c>
      <c r="G170" s="7" t="inlineStr">
        <is>
          <t>Non testé</t>
        </is>
      </c>
      <c r="H170" s="7" t="n"/>
      <c r="I170" s="7" t="n"/>
      <c r="J170" s="7" t="n"/>
    </row>
    <row r="171" ht="40" customHeight="1">
      <c r="A171" s="14" t="inlineStr">
        <is>
          <t>SEC-09</t>
        </is>
      </c>
      <c r="B171" s="17" t="inlineStr">
        <is>
          <t>Should</t>
        </is>
      </c>
      <c r="C171" s="7" t="inlineStr">
        <is>
          <t>Sécurité</t>
        </is>
      </c>
      <c r="D171" s="7" t="inlineStr">
        <is>
          <t>Exploitation</t>
        </is>
      </c>
      <c r="E171" s="7" t="inlineStr">
        <is>
          <t>Cloisonnement des environnements (production, recette) et gestion des habilitations par environnement.</t>
        </is>
      </c>
      <c r="F171" s="7" t="inlineStr">
        <is>
          <t>Infrastructure (décision externe D-02/D-03)</t>
        </is>
      </c>
      <c r="G171" s="7" t="inlineStr">
        <is>
          <t>Non testé</t>
        </is>
      </c>
      <c r="H171" s="7" t="n"/>
      <c r="I171" s="7" t="n"/>
      <c r="J171" s="7" t="n"/>
    </row>
    <row r="172" ht="40" customHeight="1">
      <c r="A172" s="14" t="inlineStr">
        <is>
          <t>SEC-10</t>
        </is>
      </c>
      <c r="B172" s="15" t="inlineStr">
        <is>
          <t>Must</t>
        </is>
      </c>
      <c r="C172" s="7" t="inlineStr">
        <is>
          <t>Sécurité</t>
        </is>
      </c>
      <c r="D172" s="7" t="inlineStr">
        <is>
          <t>Système</t>
        </is>
      </c>
      <c r="E172" s="7" t="inlineStr">
        <is>
          <t>Les sessions utilisateurs expirent après une période d'inactivité paramétrable.</t>
        </is>
      </c>
      <c r="F172" s="7" t="inlineStr">
        <is>
          <t>Transverse (Identity)</t>
        </is>
      </c>
      <c r="G172" s="7" t="inlineStr">
        <is>
          <t>Non testé</t>
        </is>
      </c>
      <c r="H172" s="7" t="n"/>
      <c r="I172" s="7" t="n"/>
      <c r="J172" s="7" t="n"/>
    </row>
    <row r="173" ht="40" customHeight="1">
      <c r="A173" s="14" t="inlineStr">
        <is>
          <t>SEC-11</t>
        </is>
      </c>
      <c r="B173" s="15" t="inlineStr">
        <is>
          <t>Must</t>
        </is>
      </c>
      <c r="C173" s="7" t="inlineStr">
        <is>
          <t>Sécurité</t>
        </is>
      </c>
      <c r="D173" s="7" t="inlineStr">
        <is>
          <t>Administration CIT</t>
        </is>
      </c>
      <c r="E173" s="7" t="inlineStr">
        <is>
          <t>Les comptes agents peuvent être désactivés immédiatement, sans suppression de leur historique.</t>
        </is>
      </c>
      <c r="F173" s="7" t="inlineStr">
        <is>
          <t>/administration/comptes-agents</t>
        </is>
      </c>
      <c r="G173" s="7" t="inlineStr">
        <is>
          <t>Non testé</t>
        </is>
      </c>
      <c r="H173" s="7" t="n"/>
      <c r="I173" s="7" t="n"/>
      <c r="J173" s="7" t="n"/>
    </row>
    <row r="174" ht="40" customHeight="1">
      <c r="A174" s="14" t="inlineStr">
        <is>
          <t>SEC-12</t>
        </is>
      </c>
      <c r="B174" s="15" t="inlineStr">
        <is>
          <t>Must</t>
        </is>
      </c>
      <c r="C174" s="7" t="inlineStr">
        <is>
          <t>Sécurité</t>
        </is>
      </c>
      <c r="D174" s="7" t="inlineStr">
        <is>
          <t>Système</t>
        </is>
      </c>
      <c r="E174" s="7" t="inlineStr">
        <is>
          <t>Aucun lien e-mail/SMS/WhatsApp ne donne accès direct à un document sans authentification et contrôle des habilitations.</t>
        </is>
      </c>
      <c r="F174" s="7" t="inlineStr">
        <is>
          <t>Notifications, liens de ticket</t>
        </is>
      </c>
      <c r="G174" s="7" t="inlineStr">
        <is>
          <t>Non testé</t>
        </is>
      </c>
      <c r="H174" s="7" t="n"/>
      <c r="I174" s="7" t="n"/>
      <c r="J174" s="7" t="n"/>
    </row>
    <row r="175" ht="40" customHeight="1">
      <c r="A175" s="14" t="inlineStr">
        <is>
          <t>NFR-01</t>
        </is>
      </c>
      <c r="B175" s="15" t="inlineStr">
        <is>
          <t>Must</t>
        </is>
      </c>
      <c r="C175" s="7" t="inlineStr">
        <is>
          <t>Non fonctionnel</t>
        </is>
      </c>
      <c r="D175" s="7" t="inlineStr">
        <is>
          <t>Tous rôles</t>
        </is>
      </c>
      <c r="E175" s="7" t="inlineStr">
        <is>
          <t>Interface en français ; ergonomie simple adaptée à des utilisateurs non techniciens.</t>
        </is>
      </c>
      <c r="F175" s="7" t="inlineStr">
        <is>
          <t>Transverse</t>
        </is>
      </c>
      <c r="G175" s="7" t="inlineStr">
        <is>
          <t>Non testé</t>
        </is>
      </c>
      <c r="H175" s="7" t="n"/>
      <c r="I175" s="7" t="n"/>
      <c r="J175" s="7" t="n"/>
    </row>
    <row r="176" ht="40" customHeight="1">
      <c r="A176" s="14" t="inlineStr">
        <is>
          <t>NFR-02</t>
        </is>
      </c>
      <c r="B176" s="15" t="inlineStr">
        <is>
          <t>Must</t>
        </is>
      </c>
      <c r="C176" s="7" t="inlineStr">
        <is>
          <t>Non fonctionnel</t>
        </is>
      </c>
      <c r="D176" s="7" t="inlineStr">
        <is>
          <t>Client, Transporteur</t>
        </is>
      </c>
      <c r="E176" s="7" t="inlineStr">
        <is>
          <t>Portail client responsive, utilisable sur mobile.</t>
        </is>
      </c>
      <c r="F176" s="7" t="inlineStr">
        <is>
          <t>Transverse (CSS responsive)</t>
        </is>
      </c>
      <c r="G176" s="7" t="inlineStr">
        <is>
          <t>Non testé</t>
        </is>
      </c>
      <c r="H176" s="7" t="n"/>
      <c r="I176" s="7" t="n"/>
      <c r="J176" s="7" t="n"/>
    </row>
    <row r="177" ht="40" customHeight="1">
      <c r="A177" s="14" t="inlineStr">
        <is>
          <t>NFR-03</t>
        </is>
      </c>
      <c r="B177" s="15" t="inlineStr">
        <is>
          <t>Must</t>
        </is>
      </c>
      <c r="C177" s="7" t="inlineStr">
        <is>
          <t>Non fonctionnel</t>
        </is>
      </c>
      <c r="D177" s="7" t="inlineStr">
        <is>
          <t>Exploitation</t>
        </is>
      </c>
      <c r="E177" s="7" t="inlineStr">
        <is>
          <t>Disponibilité cible en heures ouvrées ≥ 99% ; maintenance planifiée hors heures de pointe.</t>
        </is>
      </c>
      <c r="F177" s="7" t="inlineStr">
        <is>
          <t>Infrastructure (/ready — décision externe D-05)</t>
        </is>
      </c>
      <c r="G177" s="7" t="inlineStr">
        <is>
          <t>Non testé</t>
        </is>
      </c>
      <c r="H177" s="7" t="n"/>
      <c r="I177" s="7" t="n"/>
      <c r="J177" s="7" t="n"/>
    </row>
    <row r="178" ht="40" customHeight="1">
      <c r="A178" s="14" t="inlineStr">
        <is>
          <t>NFR-04</t>
        </is>
      </c>
      <c r="B178" s="15" t="inlineStr">
        <is>
          <t>Must</t>
        </is>
      </c>
      <c r="C178" s="7" t="inlineStr">
        <is>
          <t>Non fonctionnel</t>
        </is>
      </c>
      <c r="D178" s="7" t="inlineStr">
        <is>
          <t>Exploitation</t>
        </is>
      </c>
      <c r="E178" s="7" t="inlineStr">
        <is>
          <t>Temps de réponse &lt; 3 secondes pour les écrans courants en charge normale.</t>
        </is>
      </c>
      <c r="F178" s="7" t="inlineStr">
        <is>
          <t>Infrastructure (script k6 — décision externe)</t>
        </is>
      </c>
      <c r="G178" s="7" t="inlineStr">
        <is>
          <t>Non testé</t>
        </is>
      </c>
      <c r="H178" s="7" t="n"/>
      <c r="I178" s="7" t="n"/>
      <c r="J178" s="7" t="n"/>
    </row>
    <row r="179" ht="40" customHeight="1">
      <c r="A179" s="14" t="inlineStr">
        <is>
          <t>NFR-05</t>
        </is>
      </c>
      <c r="B179" s="15" t="inlineStr">
        <is>
          <t>Must</t>
        </is>
      </c>
      <c r="C179" s="7" t="inlineStr">
        <is>
          <t>Non fonctionnel</t>
        </is>
      </c>
      <c r="D179" s="7" t="inlineStr">
        <is>
          <t>Exploitation</t>
        </is>
      </c>
      <c r="E179" s="7" t="inlineStr">
        <is>
          <t>Volumétrie dimensionnante à confirmer en phase de cadrage.</t>
        </is>
      </c>
      <c r="F179" s="7" t="inlineStr">
        <is>
          <t>Infrastructure (décision externe)</t>
        </is>
      </c>
      <c r="G179" s="7" t="inlineStr">
        <is>
          <t>Non testé</t>
        </is>
      </c>
      <c r="H179" s="7" t="n"/>
      <c r="I179" s="7" t="n"/>
      <c r="J179" s="7" t="n"/>
    </row>
    <row r="180" ht="40" customHeight="1">
      <c r="A180" s="14" t="inlineStr">
        <is>
          <t>NFR-06</t>
        </is>
      </c>
      <c r="B180" s="15" t="inlineStr">
        <is>
          <t>Must</t>
        </is>
      </c>
      <c r="C180" s="7" t="inlineStr">
        <is>
          <t>Non fonctionnel</t>
        </is>
      </c>
      <c r="D180" s="7" t="inlineStr">
        <is>
          <t>Exploitation</t>
        </is>
      </c>
      <c r="E180" s="7" t="inlineStr">
        <is>
          <t>Sauvegardes régulières (données et documents) et procédure de restauration testée.</t>
        </is>
      </c>
      <c r="F180" s="7" t="inlineStr">
        <is>
          <t>Infrastructure (décision externe)</t>
        </is>
      </c>
      <c r="G180" s="7" t="inlineStr">
        <is>
          <t>Non testé</t>
        </is>
      </c>
      <c r="H180" s="7" t="n"/>
      <c r="I180" s="7" t="n"/>
      <c r="J180" s="7" t="n"/>
    </row>
    <row r="181" ht="40" customHeight="1">
      <c r="A181" s="14" t="inlineStr">
        <is>
          <t>NFR-07</t>
        </is>
      </c>
      <c r="B181" s="17" t="inlineStr">
        <is>
          <t>Should</t>
        </is>
      </c>
      <c r="C181" s="7" t="inlineStr">
        <is>
          <t>Non fonctionnel</t>
        </is>
      </c>
      <c r="D181" s="7" t="inlineStr">
        <is>
          <t>Client</t>
        </is>
      </c>
      <c r="E181" s="7" t="inlineStr">
        <is>
          <t>Interface disponible en anglais (clients internationaux).</t>
        </is>
      </c>
      <c r="F181" s="7" t="inlineStr">
        <is>
          <t>LanguageSwitcher</t>
        </is>
      </c>
      <c r="G181" s="7" t="inlineStr">
        <is>
          <t>Non testé</t>
        </is>
      </c>
      <c r="H181" s="7" t="n"/>
      <c r="I181" s="7" t="n"/>
      <c r="J181" s="7" t="n"/>
    </row>
    <row r="182" ht="40" customHeight="1">
      <c r="A182" s="14" t="inlineStr">
        <is>
          <t>NFR-08</t>
        </is>
      </c>
      <c r="B182" s="17" t="inlineStr">
        <is>
          <t>Should</t>
        </is>
      </c>
      <c r="C182" s="7" t="inlineStr">
        <is>
          <t>Non fonctionnel</t>
        </is>
      </c>
      <c r="D182" s="7" t="inlineStr">
        <is>
          <t>Exploitation</t>
        </is>
      </c>
      <c r="E182" s="7" t="inlineStr">
        <is>
          <t>Architecture ouverte exposant des API pour de futures intégrations.</t>
        </is>
      </c>
      <c r="F182" s="7" t="inlineStr">
        <is>
          <t>API (/api)</t>
        </is>
      </c>
      <c r="G182" s="7" t="inlineStr">
        <is>
          <t>Non testé</t>
        </is>
      </c>
      <c r="H182" s="7" t="n"/>
      <c r="I182" s="7" t="n"/>
      <c r="J182" s="7" t="n"/>
    </row>
    <row r="183" ht="40" customHeight="1">
      <c r="A183" s="14" t="inlineStr">
        <is>
          <t>NFR-09</t>
        </is>
      </c>
      <c r="B183" s="17" t="inlineStr">
        <is>
          <t>Should</t>
        </is>
      </c>
      <c r="C183" s="7" t="inlineStr">
        <is>
          <t>Non fonctionnel</t>
        </is>
      </c>
      <c r="D183" s="7" t="inlineStr">
        <is>
          <t>Exploitation</t>
        </is>
      </c>
      <c r="E183" s="7" t="inlineStr">
        <is>
          <t>Hébergement conforme aux standards du groupe (infrastructure CIT/AGL ou cloud).</t>
        </is>
      </c>
      <c r="F183" s="7" t="inlineStr">
        <is>
          <t>Infrastructure (décision externe)</t>
        </is>
      </c>
      <c r="G183" s="7" t="inlineStr">
        <is>
          <t>Non testé</t>
        </is>
      </c>
      <c r="H183" s="7" t="n"/>
      <c r="I183" s="7" t="n"/>
      <c r="J183" s="7" t="n"/>
    </row>
    <row r="184" ht="40" customHeight="1">
      <c r="A184" s="14" t="inlineStr">
        <is>
          <t>NFR-10</t>
        </is>
      </c>
      <c r="B184" s="15" t="inlineStr">
        <is>
          <t>Must</t>
        </is>
      </c>
      <c r="C184" s="7" t="inlineStr">
        <is>
          <t>Non fonctionnel</t>
        </is>
      </c>
      <c r="D184" s="7" t="inlineStr">
        <is>
          <t>Client, Exploitation</t>
        </is>
      </c>
      <c r="E184" s="7" t="inlineStr">
        <is>
          <t>Disponibilité du portail client 24h/24 7j/7, hors maintenance planifiée.</t>
        </is>
      </c>
      <c r="F184" s="7" t="inlineStr">
        <is>
          <t>Infrastructure (/ready — décision externe)</t>
        </is>
      </c>
      <c r="G184" s="7" t="inlineStr">
        <is>
          <t>Non testé</t>
        </is>
      </c>
      <c r="H184" s="7" t="n"/>
      <c r="I184" s="7" t="n"/>
      <c r="J184" s="7" t="n"/>
    </row>
    <row r="185" ht="40" customHeight="1">
      <c r="A185" s="14" t="inlineStr">
        <is>
          <t>NFR-11</t>
        </is>
      </c>
      <c r="B185" s="15" t="inlineStr">
        <is>
          <t>Must</t>
        </is>
      </c>
      <c r="C185" s="7" t="inlineStr">
        <is>
          <t>Non fonctionnel</t>
        </is>
      </c>
      <c r="D185" s="7" t="inlineStr">
        <is>
          <t>Exploitation</t>
        </is>
      </c>
      <c r="E185" s="7" t="inlineStr">
        <is>
          <t>Horaires de traitement propres à chaque service, utilisés dans le calcul des SLA ; un dépôt hors heures ouvrées reste possible.</t>
        </is>
      </c>
      <c r="F185" s="7" t="inlineStr">
        <is>
          <t>Moteur SLA (décision externe D-05)</t>
        </is>
      </c>
      <c r="G185" s="7" t="inlineStr">
        <is>
          <t>Non testé</t>
        </is>
      </c>
      <c r="H185" s="7" t="n"/>
      <c r="I185" s="7" t="n"/>
      <c r="J185" s="7" t="n"/>
    </row>
    <row r="186" ht="40" customHeight="1">
      <c r="A186" s="14" t="inlineStr">
        <is>
          <t>ERR-01</t>
        </is>
      </c>
      <c r="B186" s="15" t="inlineStr">
        <is>
          <t>Must</t>
        </is>
      </c>
      <c r="C186" s="7" t="inlineStr">
        <is>
          <t>Gestion des erreurs</t>
        </is>
      </c>
      <c r="D186" s="7" t="inlineStr">
        <is>
          <t>Système</t>
        </is>
      </c>
      <c r="E186" s="7" t="inlineStr">
        <is>
          <t>Aucune perte de données saisies en cas d'incident lors d'une soumission (brouillon ou reprise de saisie).</t>
        </is>
      </c>
      <c r="F186" s="7" t="inlineStr">
        <is>
          <t>Formulaires de soumission</t>
        </is>
      </c>
      <c r="G186" s="7" t="inlineStr">
        <is>
          <t>Non testé</t>
        </is>
      </c>
      <c r="H186" s="7" t="n"/>
      <c r="I186" s="7" t="n"/>
      <c r="J186" s="7" t="n"/>
    </row>
    <row r="187" ht="40" customHeight="1">
      <c r="A187" s="14" t="inlineStr">
        <is>
          <t>ERR-02</t>
        </is>
      </c>
      <c r="B187" s="15" t="inlineStr">
        <is>
          <t>Must</t>
        </is>
      </c>
      <c r="C187" s="7" t="inlineStr">
        <is>
          <t>Gestion des erreurs</t>
        </is>
      </c>
      <c r="D187" s="7" t="inlineStr">
        <is>
          <t>Système</t>
        </is>
      </c>
      <c r="E187" s="7" t="inlineStr">
        <is>
          <t>Échec d'envoi d'une notification : nouvelle tentative automatique et traçage ; l'échec d'un canal n'empêche pas les autres.</t>
        </is>
      </c>
      <c r="F187" s="7" t="inlineStr">
        <is>
          <t>Moteur de notifications</t>
        </is>
      </c>
      <c r="G187" s="7" t="inlineStr">
        <is>
          <t>Non testé</t>
        </is>
      </c>
      <c r="H187" s="7" t="n"/>
      <c r="I187" s="7" t="n"/>
      <c r="J187" s="7" t="n"/>
    </row>
    <row r="188" ht="40" customHeight="1">
      <c r="A188" s="14" t="inlineStr">
        <is>
          <t>ERR-03</t>
        </is>
      </c>
      <c r="B188" s="15" t="inlineStr">
        <is>
          <t>Must</t>
        </is>
      </c>
      <c r="C188" s="7" t="inlineStr">
        <is>
          <t>Gestion des erreurs</t>
        </is>
      </c>
      <c r="D188" s="7" t="inlineStr">
        <is>
          <t>Système</t>
        </is>
      </c>
      <c r="E188" s="7" t="inlineStr">
        <is>
          <t>Les documents déposés sont vérifiés à l'upload (intégrité, type, taille) avec message d'erreur explicite.</t>
        </is>
      </c>
      <c r="F188" s="7" t="inlineStr">
        <is>
          <t>Tout dépôt de document</t>
        </is>
      </c>
      <c r="G188" s="7" t="inlineStr">
        <is>
          <t>Non testé</t>
        </is>
      </c>
      <c r="H188" s="7" t="n"/>
      <c r="I188" s="7" t="n"/>
      <c r="J188" s="7" t="n"/>
    </row>
    <row r="189" ht="40" customHeight="1">
      <c r="A189" s="14" t="inlineStr">
        <is>
          <t>ERR-04</t>
        </is>
      </c>
      <c r="B189" s="17" t="inlineStr">
        <is>
          <t>Should</t>
        </is>
      </c>
      <c r="C189" s="7" t="inlineStr">
        <is>
          <t>Gestion des erreurs</t>
        </is>
      </c>
      <c r="D189" s="7" t="inlineStr">
        <is>
          <t>Exploitation</t>
        </is>
      </c>
      <c r="E189" s="7" t="inlineStr">
        <is>
          <t>Mode dégradé documenté : en cas d'indisponibilité du portail, le parcours physique reste possible, reprise par numéro de ticket.</t>
        </is>
      </c>
      <c r="F189" s="7" t="inlineStr">
        <is>
          <t>Procédure d'exploitation</t>
        </is>
      </c>
      <c r="G189" s="7" t="inlineStr">
        <is>
          <t>Non testé</t>
        </is>
      </c>
      <c r="H189" s="7" t="n"/>
      <c r="I189" s="7" t="n"/>
      <c r="J189" s="7" t="n"/>
    </row>
  </sheetData>
  <autoFilter ref="A1:J189"/>
  <dataValidations count="1">
    <dataValidation sqref="G2:G189" showDropDown="0" showInputMessage="0" showErrorMessage="0" allowBlank="1" type="list">
      <formula1>"Non teste,Conforme,Non conforme,Non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18" t="inlineStr">
        <is>
          <t>Synthèse du cahier de recette</t>
        </is>
      </c>
    </row>
    <row r="3">
      <c r="A3" s="4" t="inlineStr">
        <is>
          <t>Total exigences CDC tracées</t>
        </is>
      </c>
      <c r="B3" s="19">
        <f>COUNTA('Traçabilité exigences'!A2:A500)</f>
        <v/>
      </c>
    </row>
    <row r="4">
      <c r="A4" s="4" t="inlineStr">
        <is>
          <t>dont Must</t>
        </is>
      </c>
      <c r="B4" s="19">
        <f>COUNTIF('Traçabilité exigences'!B2:B500,"Must")</f>
        <v/>
      </c>
    </row>
    <row r="5">
      <c r="A5" s="4" t="inlineStr">
        <is>
          <t>dont Should</t>
        </is>
      </c>
      <c r="B5" s="19">
        <f>COUNTIF('Traçabilité exigences'!B2:B500,"Should")</f>
        <v/>
      </c>
    </row>
    <row r="6">
      <c r="A6" s="4" t="inlineStr">
        <is>
          <t>dont Could</t>
        </is>
      </c>
      <c r="B6" s="19">
        <f>COUNTIF('Traçabilité exigences'!B2:B500,"Could")</f>
        <v/>
      </c>
    </row>
    <row r="7">
      <c r="B7" s="19" t="n"/>
    </row>
    <row r="8">
      <c r="A8" s="4" t="inlineStr">
        <is>
          <t>Exigences Conformes</t>
        </is>
      </c>
      <c r="B8" s="19">
        <f>COUNTIF('Traçabilité exigences'!G2:G500,"Conforme")</f>
        <v/>
      </c>
    </row>
    <row r="9">
      <c r="A9" s="4" t="inlineStr">
        <is>
          <t>Exigences Non conformes</t>
        </is>
      </c>
      <c r="B9" s="19">
        <f>COUNTIF('Traçabilité exigences'!G2:G500,"Non conforme")</f>
        <v/>
      </c>
    </row>
    <row r="10">
      <c r="A10" s="4" t="inlineStr">
        <is>
          <t>Exigences Non testées</t>
        </is>
      </c>
      <c r="B10" s="19">
        <f>COUNTIF('Traçabilité exigences'!G2:G500,"Non testé")</f>
        <v/>
      </c>
    </row>
    <row r="11">
      <c r="A11" s="4" t="inlineStr">
        <is>
          <t>Exigences Non applicables</t>
        </is>
      </c>
      <c r="B11" s="19">
        <f>COUNTIF('Traçabilité exigences'!G2:G500,"Non applicable")</f>
        <v/>
      </c>
    </row>
    <row r="12">
      <c r="B12" s="19" t="n"/>
    </row>
    <row r="13">
      <c r="A13" s="4" t="inlineStr">
        <is>
          <t>Total étapes de scénarios E2E</t>
        </is>
      </c>
      <c r="B13" s="19">
        <f>COUNTA('Scénarios E2E'!A2:A500)</f>
        <v/>
      </c>
    </row>
    <row r="14">
      <c r="A14" s="4" t="inlineStr">
        <is>
          <t>Étapes Conformes</t>
        </is>
      </c>
      <c r="B14" s="19">
        <f>COUNTIF('Scénarios E2E'!G2:G500,"Conforme")</f>
        <v/>
      </c>
    </row>
    <row r="15">
      <c r="A15" s="4" t="inlineStr">
        <is>
          <t>Étapes Non conformes</t>
        </is>
      </c>
      <c r="B15" s="19">
        <f>COUNTIF('Scénarios E2E'!G2:G500,"Non conforme")</f>
        <v/>
      </c>
    </row>
    <row r="16">
      <c r="A16" s="4" t="inlineStr">
        <is>
          <t>Étapes Non testées</t>
        </is>
      </c>
      <c r="B16" s="19">
        <f>COUNTIF('Scénarios E2E'!G2:G500,"Non testé")</f>
        <v/>
      </c>
    </row>
    <row r="18">
      <c r="A18" s="4" t="inlineStr">
        <is>
          <t>Critère d'acceptation global (CDC §22)</t>
        </is>
      </c>
    </row>
    <row r="19" ht="34" customHeight="1">
      <c r="A19" s="5" t="inlineStr">
        <is>
          <t>100% des scénarios Must exécutés avec succès, aucune anomalie bloquante ou majeure ouverte, exigences de sécurité vérifiées, documentation livrée.</t>
        </is>
      </c>
    </row>
  </sheetData>
  <mergeCells count="1"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2026-09-22T22:16:25Z</dcterms:created>
  <dcterms:modified xmlns:dcterms="http://purl.org/dc/terms/" xmlns:xsi="http://www.w3.org/2001/XMLSchema-instance" xsi:type="dcterms:W3CDTF">2026-09-22T22:16:25Z</dcterms:modified>
</cp:coreProperties>
</file>